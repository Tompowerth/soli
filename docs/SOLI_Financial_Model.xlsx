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Organic Growth" sheetId="2" state="visible" r:id="rId4"/>
    <sheet name="12-Month Model" sheetId="3" state="visible" r:id="rId5"/>
    <sheet name="Scenarios" sheetId="4" state="visible" r:id="rId6"/>
    <sheet name="Finance 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<sst xmlns="http://schemas.openxmlformats.org/spreadsheetml/2006/main" count="296" uniqueCount="248">
  <si>
    <t xml:space="preserve">SOLI — Unit Economics Per User</t>
  </si>
  <si>
    <t xml:space="preserve">All blue cells are editable inputs. Change any number and the model updates automatically.</t>
  </si>
  <si>
    <t xml:space="preserve">COST PER MINUTE BY MODE</t>
  </si>
  <si>
    <t xml:space="preserve">Component</t>
  </si>
  <si>
    <t xml:space="preserve">Cost/Minute</t>
  </si>
  <si>
    <t xml:space="preserve">% of Time</t>
  </si>
  <si>
    <t xml:space="preserve">Notes</t>
  </si>
  <si>
    <t xml:space="preserve">Text chat (Haiku)</t>
  </si>
  <si>
    <t xml:space="preserve">Cheapest — unlimited on all plans</t>
  </si>
  <si>
    <t xml:space="preserve">Voice: Haiku + ElevenLabs + Hume</t>
  </si>
  <si>
    <t xml:space="preserve">Basic voice conversation</t>
  </si>
  <si>
    <t xml:space="preserve">Voice: Sonnet + ElevenLabs + Hume</t>
  </si>
  <si>
    <t xml:space="preserve">Emotional/deep conversation</t>
  </si>
  <si>
    <t xml:space="preserve">Voice + Camera: Haiku + Vision + Hume + EL</t>
  </si>
  <si>
    <t xml:space="preserve">Triggered by emotion change, not every 30s</t>
  </si>
  <si>
    <t xml:space="preserve">Deep analysis (Opus)</t>
  </si>
  <si>
    <t xml:space="preserve">Graphology, profile, pattern analysis only</t>
  </si>
  <si>
    <t xml:space="preserve">Weighted Average Cost/Minute</t>
  </si>
  <si>
    <t xml:space="preserve">PLAN ECONOMICS</t>
  </si>
  <si>
    <t xml:space="preserve">Plan</t>
  </si>
  <si>
    <t xml:space="preserve">Price/Month</t>
  </si>
  <si>
    <t xml:space="preserve">Voice+Cam Minutes</t>
  </si>
  <si>
    <t xml:space="preserve">Text</t>
  </si>
  <si>
    <t xml:space="preserve">Basic</t>
  </si>
  <si>
    <t xml:space="preserve">Unlimited</t>
  </si>
  <si>
    <t xml:space="preserve">Pro</t>
  </si>
  <si>
    <t xml:space="preserve">Premium</t>
  </si>
  <si>
    <t xml:space="preserve">PER-USER PROFITABILITY</t>
  </si>
  <si>
    <t xml:space="preserve">Voice Cost</t>
  </si>
  <si>
    <t xml:space="preserve">Gross Profit</t>
  </si>
  <si>
    <t xml:space="preserve">Margin</t>
  </si>
  <si>
    <t xml:space="preserve">MONTHLY FIXED COSTS</t>
  </si>
  <si>
    <t xml:space="preserve">Item</t>
  </si>
  <si>
    <t xml:space="preserve">Cost/Month</t>
  </si>
  <si>
    <t xml:space="preserve">Vercel hosting</t>
  </si>
  <si>
    <t xml:space="preserve">Free tier available at start</t>
  </si>
  <si>
    <t xml:space="preserve">Supabase</t>
  </si>
  <si>
    <t xml:space="preserve">Domain (heysoli.ai)</t>
  </si>
  <si>
    <t xml:space="preserve">~$50/year</t>
  </si>
  <si>
    <t xml:space="preserve">Apple Developer account</t>
  </si>
  <si>
    <t xml:space="preserve">$99/year</t>
  </si>
  <si>
    <t xml:space="preserve">Google Play account</t>
  </si>
  <si>
    <t xml:space="preserve">$25 one-time, amortized</t>
  </si>
  <si>
    <t xml:space="preserve">ElevenLabs base plan</t>
  </si>
  <si>
    <t xml:space="preserve">Scales with usage</t>
  </si>
  <si>
    <t xml:space="preserve">Hume AI base</t>
  </si>
  <si>
    <t xml:space="preserve">Pay per use only</t>
  </si>
  <si>
    <t xml:space="preserve">Marketing</t>
  </si>
  <si>
    <t xml:space="preserve">Adjustable — key variable</t>
  </si>
  <si>
    <t xml:space="preserve">Misc (legal, tools)</t>
  </si>
  <si>
    <t xml:space="preserve">Buffer</t>
  </si>
  <si>
    <t xml:space="preserve">TOTAL FIXED COSTS</t>
  </si>
  <si>
    <t xml:space="preserve">APP STORE / PAYMENT FEES</t>
  </si>
  <si>
    <t xml:space="preserve">Payment Channel</t>
  </si>
  <si>
    <t xml:space="preserve">Fee %</t>
  </si>
  <si>
    <t xml:space="preserve">Fee on $30.24 ARPU</t>
  </si>
  <si>
    <t xml:space="preserve">Net After Fee</t>
  </si>
  <si>
    <t xml:space="preserve">Web (Stripe)</t>
  </si>
  <si>
    <t xml:space="preserve">Apple Store Year 1</t>
  </si>
  <si>
    <t xml:space="preserve">Apple Store Year 2+ (Small Biz)</t>
  </si>
  <si>
    <t xml:space="preserve">Google Play (Small Biz)</t>
  </si>
  <si>
    <t xml:space="preserve">GROSS PROFIT AFTER FEES + VARIABLE COST ($5.76/user)</t>
  </si>
  <si>
    <t xml:space="preserve">Channel</t>
  </si>
  <si>
    <t xml:space="preserve">Gross Profit/User</t>
  </si>
  <si>
    <t xml:space="preserve">Annual at 500 Users</t>
  </si>
  <si>
    <t xml:space="preserve">SOLI — Organic-First Growth Model</t>
  </si>
  <si>
    <t xml:space="preserve">Minimal paid marketing. Growth from TikTok, ASO, referrals, and built-in virality.</t>
  </si>
  <si>
    <t xml:space="preserve">ASSUMPTIONS — ORGANIC-FIRST (edit blue cells)</t>
  </si>
  <si>
    <t xml:space="preserve">Organic trials/month (start)</t>
  </si>
  <si>
    <t xml:space="preserve">TikTok + ASO + Reddit (no paid)</t>
  </si>
  <si>
    <t xml:space="preserve">Viral/referral multiplier</t>
  </si>
  <si>
    <t xml:space="preserve">Each user brings 0.5 more (word of mouth)</t>
  </si>
  <si>
    <t xml:space="preserve">Monthly organic growth rate</t>
  </si>
  <si>
    <t xml:space="preserve">Content compounds — 20% MoM</t>
  </si>
  <si>
    <t xml:space="preserve">Trial → Paid conversion</t>
  </si>
  <si>
    <t xml:space="preserve">Higher than paid — organic users are warmer</t>
  </si>
  <si>
    <t xml:space="preserve">Monthly churn rate</t>
  </si>
  <si>
    <t xml:space="preserve">Lower churn — organic users more engaged</t>
  </si>
  <si>
    <t xml:space="preserve">% Basic plan</t>
  </si>
  <si>
    <t xml:space="preserve">% Pro plan</t>
  </si>
  <si>
    <t xml:space="preserve">% Premium plan</t>
  </si>
  <si>
    <t xml:space="preserve">Avg voice min used (% of plan)</t>
  </si>
  <si>
    <t xml:space="preserve">Marketing spend M1-M3</t>
  </si>
  <si>
    <t xml:space="preserve">Only tools: Canva, scheduling, domain</t>
  </si>
  <si>
    <t xml:space="preserve">Marketing spend M4-M6</t>
  </si>
  <si>
    <t xml:space="preserve">Small boost when organic proven</t>
  </si>
  <si>
    <t xml:space="preserve">Marketing spend M7-M12</t>
  </si>
  <si>
    <t xml:space="preserve">Scale what works</t>
  </si>
  <si>
    <t xml:space="preserve">Fixed costs/month</t>
  </si>
  <si>
    <t xml:space="preserve">Infrastructure</t>
  </si>
  <si>
    <t xml:space="preserve">Avg revenue/user/month</t>
  </si>
  <si>
    <t xml:space="preserve">Weighted from plan mix</t>
  </si>
  <si>
    <t xml:space="preserve">Avg variable cost/user/month</t>
  </si>
  <si>
    <t xml:space="preserve">From Unit Economics</t>
  </si>
  <si>
    <t xml:space="preserve">% revenue via App Store</t>
  </si>
  <si>
    <t xml:space="preserve">30% through stores, 70% web (PWA first strategy)</t>
  </si>
  <si>
    <t xml:space="preserve">App Store commission rate</t>
  </si>
  <si>
    <t xml:space="preserve">15% Small Business Program (under $1M)</t>
  </si>
  <si>
    <t xml:space="preserve">Blended payment fee rate</t>
  </si>
  <si>
    <t xml:space="preserve">Weighted: store% × store fee + web% × Stripe 2.9%</t>
  </si>
  <si>
    <t xml:space="preserve">12-MONTH ORGANIC PROJECTION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</si>
  <si>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</si>
  <si>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</si>
  <si>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</si>
  <si>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</si>
  <si>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</si>
  <si>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</si>
  <si>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</si>
  <si>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</si>
  <si>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</si>
  <si>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</si>
  <si>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</si>
  <si>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</si>
  <si>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</si>
  <si>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Organic Trials</t>
  </si>
  <si>
    <t xml:space="preserve">Effective Trials (with viral)</t>
  </si>
  <si>
    <t xml:space="preserve">New Paid Users</t>
  </si>
  <si>
    <t xml:space="preserve">Churned Users</t>
  </si>
  <si>
    <t xml:space="preserve">Total Paid Users</t>
  </si>
  <si>
    <t xml:space="preserve">Revenue</t>
  </si>
  <si>
    <t xml:space="preserve">Store + Payment Fees</t>
  </si>
  <si>
    <t xml:space="preserve">Net Revenue (after fees)</t>
  </si>
  <si>
    <t xml:space="preserve">Variable Costs</t>
  </si>
  <si>
    <t xml:space="preserve">Gross Margin</t>
  </si>
  <si>
    <t xml:space="preserve">Fixed Costs</t>
  </si>
  <si>
    <t xml:space="preserve">Total Expenses</t>
  </si>
  <si>
    <t xml:space="preserve">NET PROFIT / (LOSS)</t>
  </si>
  <si>
    <t xml:space="preserve">Cumulative P&amp;L</t>
  </si>
  <si>
    <t xml:space="preserve">Breakeven?</t>
  </si>
  <si>
    <t xml:space="preserve">YEAR 1 SUMMARY</t>
  </si>
  <si>
    <t xml:space="preserve">Total Paid Users (M12)</t>
  </si>
  <si>
    <t xml:space="preserve">MRR (M12)</t>
  </si>
  <si>
    <t xml:space="preserve">ARR (M12)</t>
  </si>
  <si>
    <t xml:space="preserve">Total Revenue (Year)</t>
  </si>
  <si>
    <t xml:space="preserve">Total Expenses (Year)</t>
  </si>
  <si>
    <t xml:space="preserve">Net Profit (Year)</t>
  </si>
  <si>
    <t xml:space="preserve">Total Marketing Spend</t>
  </si>
  <si>
    <t xml:space="preserve">CAC (total mktg / total paid)</t>
  </si>
  <si>
    <t xml:space="preserve">SOLI — 12-Month Financial Model</t>
  </si>
  <si>
    <t xml:space="preserve">Change blue inputs to model any scenario</t>
  </si>
  <si>
    <t xml:space="preserve">ASSUMPTIONS (edit these)</t>
  </si>
  <si>
    <t xml:space="preserve">New trial users/month (start)</t>
  </si>
  <si>
    <t xml:space="preserve">Month 1 trials</t>
  </si>
  <si>
    <t xml:space="preserve">Monthly growth rate (trials)</t>
  </si>
  <si>
    <t xml:space="preserve">15% MoM growth</t>
  </si>
  <si>
    <t xml:space="preserve">5% convert to paid</t>
  </si>
  <si>
    <t xml:space="preserve">8% of paid users leave</t>
  </si>
  <si>
    <t xml:space="preserve">Of new paid users</t>
  </si>
  <si>
    <t xml:space="preserve">Users use 70% of minutes</t>
  </si>
  <si>
    <t xml:space="preserve">Marketing spend/month</t>
  </si>
  <si>
    <t xml:space="preserve">Adjustable</t>
  </si>
  <si>
    <t xml:space="preserve">Fixed costs/month (excl marketing)</t>
  </si>
  <si>
    <t xml:space="preserve">From Unit Economics sheet</t>
  </si>
  <si>
    <t xml:space="preserve">PLAN PRICES (from Unit Economics)</t>
  </si>
  <si>
    <t xml:space="preserve">Price/month</t>
  </si>
  <si>
    <t xml:space="preserve">Voice minutes</t>
  </si>
  <si>
    <t xml:space="preserve">Cost/minute (weighted avg)</t>
  </si>
  <si>
    <t xml:space="preserve">12-MONTH PROJECTION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</si>
  <si>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</si>
  <si>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</si>
  <si>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</si>
  <si>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</si>
  <si>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</si>
  <si>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</si>
  <si>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</si>
  <si>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</si>
  <si>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</si>
  <si>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</si>
  <si>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</si>
  <si>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</si>
  <si>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New Trial Users</t>
  </si>
  <si>
    <t xml:space="preserve">Basic Users</t>
  </si>
  <si>
    <t xml:space="preserve">Pro Users</t>
  </si>
  <si>
    <t xml:space="preserve">Premium Users</t>
  </si>
  <si>
    <t xml:space="preserve">Revenue: Basic</t>
  </si>
  <si>
    <t xml:space="preserve">Revenue: Pro</t>
  </si>
  <si>
    <t xml:space="preserve">Revenue: Premium</t>
  </si>
  <si>
    <t xml:space="preserve">TOTAL REVENUE</t>
  </si>
  <si>
    <t xml:space="preserve">Variable Cost: Basic</t>
  </si>
  <si>
    <t xml:space="preserve">Variable Cost: Pro</t>
  </si>
  <si>
    <t xml:space="preserve">Variable Cost: Premium</t>
  </si>
  <si>
    <t xml:space="preserve">TOTAL VARIABLE COST</t>
  </si>
  <si>
    <t xml:space="preserve">GROSS PROFIT</t>
  </si>
  <si>
    <t xml:space="preserve">TOTAL EXPENSES</t>
  </si>
  <si>
    <t xml:space="preserve">SOLI — Scenario Comparison</t>
  </si>
  <si>
    <t xml:space="preserve">Edit blue cells to model pessimistic/base/optimistic</t>
  </si>
  <si>
    <t xml:space="preserve">Assumption</t>
  </si>
  <si>
    <t xml:space="preserve">Pessimistic</t>
  </si>
  <si>
    <t xml:space="preserve">Base</t>
  </si>
  <si>
    <t xml:space="preserve">Optimistic</t>
  </si>
  <si>
    <t xml:space="preserve">New trials/month (start)</t>
  </si>
  <si>
    <t xml:space="preserve">Monthly growth</t>
  </si>
  <si>
    <t xml:space="preserve">Monthly churn</t>
  </si>
  <si>
    <t xml:space="preserve">Marketing/month</t>
  </si>
  <si>
    <t xml:space="preserve">Variable cost/user/month</t>
  </si>
  <si>
    <t xml:space="preserve">MONTH 12 PROJECTION</t>
  </si>
  <si>
    <t xml:space="preserve">Paying Users (M12)</t>
  </si>
  <si>
    <t xml:space="preserve">MRR</t>
  </si>
  <si>
    <t xml:space="preserve">ARR</t>
  </si>
  <si>
    <t xml:space="preserve">Monthly Revenue</t>
  </si>
  <si>
    <t xml:space="preserve">Monthly Variable Cost</t>
  </si>
  <si>
    <t xml:space="preserve">Monthly Gross Profit</t>
  </si>
  <si>
    <t xml:space="preserve">Monthly Fixed + Marketing</t>
  </si>
  <si>
    <t xml:space="preserve">Monthly Net Profit</t>
  </si>
  <si>
    <t xml:space="preserve">Annual Net Profit (approx)</t>
  </si>
  <si>
    <t xml:space="preserve">SOLI — Finance Scenarios with Store Fees</t>
  </si>
  <si>
    <t xml:space="preserve">All blue cells editable. See how store fees, pricing, and channel mix affect profitability.</t>
  </si>
  <si>
    <t xml:space="preserve">INPUTS — Edit to model scenarios</t>
  </si>
  <si>
    <t xml:space="preserve">ARPU (avg revenue/user/month)</t>
  </si>
  <si>
    <t xml:space="preserve">Variable cost/user/month (AI)</t>
  </si>
  <si>
    <t xml:space="preserve">% via Web (Stripe 2.9%)</t>
  </si>
  <si>
    <t xml:space="preserve">% via App Store</t>
  </si>
  <si>
    <t xml:space="preserve">App Store commission</t>
  </si>
  <si>
    <t xml:space="preserve">Stripe fee</t>
  </si>
  <si>
    <t xml:space="preserve">Total paying users</t>
  </si>
  <si>
    <t xml:space="preserve">CALCULATED — Per User/Month</t>
  </si>
  <si>
    <t xml:space="preserve">Payment fee/user</t>
  </si>
  <si>
    <t xml:space="preserve">Net revenue/user (after fees)</t>
  </si>
  <si>
    <t xml:space="preserve">Variable cost/user</t>
  </si>
  <si>
    <t xml:space="preserve">Gross profit/user</t>
  </si>
  <si>
    <t xml:space="preserve">Gross margin</t>
  </si>
  <si>
    <t xml:space="preserve">MONTHLY P&amp;L AT GIVEN USERS</t>
  </si>
  <si>
    <t xml:space="preserve">Gross Revenue</t>
  </si>
  <si>
    <t xml:space="preserve">Payment Fees</t>
  </si>
  <si>
    <t xml:space="preserve">Net Revenue</t>
  </si>
  <si>
    <t xml:space="preserve">Variable Costs (AI)</t>
  </si>
  <si>
    <t xml:space="preserve">NET MONTHLY PROFIT</t>
  </si>
  <si>
    <t xml:space="preserve">ANNUAL NET PROFIT</t>
  </si>
  <si>
    <t xml:space="preserve">SCENARIO COMPARISON — What-If Analysis</t>
  </si>
  <si>
    <t xml:space="preserve">100% Web
(Stripe)</t>
  </si>
  <si>
    <t xml:space="preserve">70% Web
30% Store</t>
  </si>
  <si>
    <t xml:space="preserve">50/50
Web/Store</t>
  </si>
  <si>
    <t xml:space="preserve">100% Store
(Worst)</t>
  </si>
  <si>
    <t xml:space="preserve">100% Store
30% fee (Y1)</t>
  </si>
  <si>
    <t xml:space="preserve">Blended fee rate</t>
  </si>
  <si>
    <t xml:space="preserve">Fee/user/month</t>
  </si>
  <si>
    <t xml:space="preserve">Net revenue/user</t>
  </si>
  <si>
    <t xml:space="preserve">Monthly profit (500 users)</t>
  </si>
  <si>
    <t xml:space="preserve">Annual profit (500 users)</t>
  </si>
  <si>
    <t xml:space="preserve">Breakeven users</t>
  </si>
  <si>
    <t xml:space="preserve">Monthly profit (1000 users)</t>
  </si>
  <si>
    <t xml:space="preserve">Annual profit (1000 users)</t>
  </si>
  <si>
    <t xml:space="preserve">Monthly profit (2000 users)</t>
  </si>
  <si>
    <t xml:space="preserve">Annual profit (2000 users)</t>
  </si>
  <si>
    <t xml:space="preserve">KEY INSIGHT:</t>
  </si>
  <si>
    <t xml:space="preserve">PWA-first strategy (70% web / 30% store) saves ~$2,200/year per 100 users vs 100% store.</t>
  </si>
  <si>
    <t xml:space="preserve">At 1,000 users: $22,000/year difference. At 2,000: $44,000/year.</t>
  </si>
  <si>
    <t xml:space="preserve">Strategy: Launch PWA → add native apps for discovery only → push web checkout.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</si>
</sst>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"/>
    <numFmt numFmtId="167" formatCode="#,##0"/>
    <numFmt numFmtId="168" formatCode="\$#,##0"/>
    <numFmt numFmtId="169" formatCode="0.0\x"/>
    <numFmt numFmtId="170" formatCode="\$#,##0"/>
    <numFmt numFmtId="171" formatCode="\$#,##0;&quot;($&quot;#,##0\);\-"/>
    <numFmt numFmtId="172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B8C6E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2"/>
      <color rgb="FF5B8C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C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0EB"/>
        <bgColor rgb="FFFFF9E6"/>
      </patternFill>
    </fill>
    <fill>
      <patternFill patternType="solid">
        <fgColor rgb="FF5B8C6E"/>
        <bgColor rgb="FF66666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B3D"/>
      <rgbColor rgb="FF800080"/>
      <rgbColor rgb="FF008080"/>
      <rgbColor rgb="FFCCCCCC"/>
      <rgbColor rgb="FF5B8C6E"/>
      <rgbColor rgb="FF9999FF"/>
      <rgbColor rgb="FF666666"/>
      <rgbColor rgb="FFFFF9E6"/>
      <rgbColor rgb="FFE8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35"/>
      <rgbColor rgb="FF7B6E8C"/>
      <rgbColor rgb="FF999999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8C6E"/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8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</row>
    <row r="5" customFormat="false" ht="1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</row>
    <row r="6" customFormat="false" ht="15" hidden="false" customHeight="true" outlineLevel="0" collapsed="false">
      <c r="A6" s="7" t="s">
        <v>7</v>
      </c>
      <c r="B6" s="8" t="n">
        <v>0.005</v>
      </c>
      <c r="C6" s="9" t="n">
        <v>0.4</v>
      </c>
      <c r="D6" s="10" t="s">
        <v>8</v>
      </c>
    </row>
    <row r="7" customFormat="false" ht="15" hidden="false" customHeight="true" outlineLevel="0" collapsed="false">
      <c r="A7" s="7" t="s">
        <v>9</v>
      </c>
      <c r="B7" s="8" t="n">
        <v>0.06</v>
      </c>
      <c r="C7" s="9" t="n">
        <v>0.3</v>
      </c>
      <c r="D7" s="10" t="s">
        <v>10</v>
      </c>
    </row>
    <row r="8" customFormat="false" ht="15" hidden="false" customHeight="true" outlineLevel="0" collapsed="false">
      <c r="A8" s="7" t="s">
        <v>11</v>
      </c>
      <c r="B8" s="8" t="n">
        <v>0.09</v>
      </c>
      <c r="C8" s="9" t="n">
        <v>0.2</v>
      </c>
      <c r="D8" s="10" t="s">
        <v>12</v>
      </c>
    </row>
    <row r="9" customFormat="false" ht="15" hidden="false" customHeight="true" outlineLevel="0" collapsed="false">
      <c r="A9" s="7" t="s">
        <v>13</v>
      </c>
      <c r="B9" s="8" t="n">
        <v>0.08</v>
      </c>
      <c r="C9" s="9" t="n">
        <v>0.08</v>
      </c>
      <c r="D9" s="10" t="s">
        <v>14</v>
      </c>
    </row>
    <row r="10" customFormat="false" ht="15" hidden="false" customHeight="true" outlineLevel="0" collapsed="false">
      <c r="A10" s="7" t="s">
        <v>15</v>
      </c>
      <c r="B10" s="8" t="n">
        <v>0.12</v>
      </c>
      <c r="C10" s="9" t="n">
        <v>0.02</v>
      </c>
      <c r="D10" s="10" t="s">
        <v>16</v>
      </c>
    </row>
    <row r="11" customFormat="false" ht="15" hidden="false" customHeight="true" outlineLevel="0" collapsed="false">
      <c r="A11" s="11" t="s">
        <v>17</v>
      </c>
      <c r="B11" s="12" t="n">
        <f aca="false">SUMPRODUCT(B6:B10,C6:C10)</f>
        <v>0.0468</v>
      </c>
      <c r="C11" s="13" t="n">
        <f aca="false">SUM(C6:C10)</f>
        <v>1</v>
      </c>
    </row>
    <row r="13" customFormat="false" ht="15" hidden="false" customHeight="true" outlineLevel="0" collapsed="false">
      <c r="A13" s="4" t="s">
        <v>18</v>
      </c>
      <c r="B13" s="5"/>
      <c r="C13" s="5"/>
      <c r="D13" s="5"/>
    </row>
    <row r="14" customFormat="false" ht="26.25" hidden="false" customHeight="true" outlineLevel="0" collapsed="false">
      <c r="A14" s="6" t="s">
        <v>19</v>
      </c>
      <c r="B14" s="6" t="s">
        <v>20</v>
      </c>
      <c r="C14" s="6" t="s">
        <v>21</v>
      </c>
      <c r="D14" s="6" t="s">
        <v>22</v>
      </c>
    </row>
    <row r="15" customFormat="false" ht="15" hidden="false" customHeight="true" outlineLevel="0" collapsed="false">
      <c r="A15" s="11" t="s">
        <v>23</v>
      </c>
      <c r="B15" s="8" t="n">
        <v>14.99</v>
      </c>
      <c r="C15" s="14" t="n">
        <v>60</v>
      </c>
      <c r="D15" s="7" t="s">
        <v>24</v>
      </c>
    </row>
    <row r="16" customFormat="false" ht="15" hidden="false" customHeight="true" outlineLevel="0" collapsed="false">
      <c r="A16" s="11" t="s">
        <v>25</v>
      </c>
      <c r="B16" s="8" t="n">
        <v>34.99</v>
      </c>
      <c r="C16" s="14" t="n">
        <v>200</v>
      </c>
      <c r="D16" s="7" t="s">
        <v>24</v>
      </c>
    </row>
    <row r="17" customFormat="false" ht="15" hidden="false" customHeight="true" outlineLevel="0" collapsed="false">
      <c r="A17" s="11" t="s">
        <v>26</v>
      </c>
      <c r="B17" s="8" t="n">
        <v>69.99</v>
      </c>
      <c r="C17" s="14" t="n">
        <v>500</v>
      </c>
      <c r="D17" s="7" t="s">
        <v>24</v>
      </c>
    </row>
    <row r="19" customFormat="false" ht="15" hidden="false" customHeight="true" outlineLevel="0" collapsed="false">
      <c r="A19" s="4" t="s">
        <v>27</v>
      </c>
      <c r="B19" s="5"/>
      <c r="C19" s="5"/>
      <c r="D19" s="5"/>
    </row>
    <row r="20" customFormat="false" ht="15" hidden="false" customHeight="true" outlineLevel="0" collapsed="false">
      <c r="A20" s="6" t="s">
        <v>19</v>
      </c>
      <c r="B20" s="6" t="s">
        <v>28</v>
      </c>
      <c r="C20" s="6" t="s">
        <v>29</v>
      </c>
      <c r="D20" s="6" t="s">
        <v>30</v>
      </c>
    </row>
    <row r="21" customFormat="false" ht="15" hidden="false" customHeight="true" outlineLevel="0" collapsed="false">
      <c r="A21" s="11" t="s">
        <v>23</v>
      </c>
      <c r="B21" s="15" t="n">
        <f aca="false">B11*C15</f>
        <v>2.808</v>
      </c>
      <c r="C21" s="12" t="n">
        <f aca="false">B15-B21</f>
        <v>12.182</v>
      </c>
      <c r="D21" s="13" t="n">
        <f aca="false">IF(B15&gt;0,C21/B15,0)</f>
        <v>0.812675116744496</v>
      </c>
    </row>
    <row r="22" customFormat="false" ht="15" hidden="false" customHeight="true" outlineLevel="0" collapsed="false">
      <c r="A22" s="11" t="s">
        <v>25</v>
      </c>
      <c r="B22" s="15" t="n">
        <f aca="false">B11*C16</f>
        <v>9.36</v>
      </c>
      <c r="C22" s="12" t="n">
        <f aca="false">B16-B22</f>
        <v>25.63</v>
      </c>
      <c r="D22" s="13" t="n">
        <f aca="false">IF(B16&gt;0,C22/B16,0)</f>
        <v>0.73249499857102</v>
      </c>
    </row>
    <row r="23" customFormat="false" ht="15" hidden="false" customHeight="true" outlineLevel="0" collapsed="false">
      <c r="A23" s="11" t="s">
        <v>26</v>
      </c>
      <c r="B23" s="15" t="n">
        <f aca="false">B11*C17</f>
        <v>23.4</v>
      </c>
      <c r="C23" s="12" t="n">
        <f aca="false">B17-B23</f>
        <v>46.59</v>
      </c>
      <c r="D23" s="13" t="n">
        <f aca="false">IF(B17&gt;0,C23/B17,0)</f>
        <v>0.665666523789113</v>
      </c>
    </row>
    <row r="25" customFormat="false" ht="15" hidden="false" customHeight="true" outlineLevel="0" collapsed="false">
      <c r="A25" s="4" t="s">
        <v>31</v>
      </c>
      <c r="B25" s="5"/>
      <c r="C25" s="5"/>
      <c r="D25" s="5"/>
    </row>
    <row r="26" customFormat="false" ht="15" hidden="false" customHeight="true" outlineLevel="0" collapsed="false">
      <c r="A26" s="6" t="s">
        <v>32</v>
      </c>
      <c r="B26" s="6" t="s">
        <v>33</v>
      </c>
      <c r="C26" s="6"/>
      <c r="D26" s="6" t="s">
        <v>6</v>
      </c>
    </row>
    <row r="27" customFormat="false" ht="15" hidden="false" customHeight="true" outlineLevel="0" collapsed="false">
      <c r="A27" s="7" t="s">
        <v>34</v>
      </c>
      <c r="B27" s="16" t="n">
        <v>20</v>
      </c>
      <c r="D27" s="10" t="s">
        <v>35</v>
      </c>
    </row>
    <row r="28" customFormat="false" ht="15" hidden="false" customHeight="true" outlineLevel="0" collapsed="false">
      <c r="A28" s="7" t="s">
        <v>36</v>
      </c>
      <c r="B28" s="16" t="n">
        <v>25</v>
      </c>
      <c r="D28" s="10" t="s">
        <v>35</v>
      </c>
    </row>
    <row r="29" customFormat="false" ht="15" hidden="false" customHeight="true" outlineLevel="0" collapsed="false">
      <c r="A29" s="7" t="s">
        <v>37</v>
      </c>
      <c r="B29" s="16" t="n">
        <v>4</v>
      </c>
      <c r="D29" s="10" t="s">
        <v>38</v>
      </c>
    </row>
    <row r="30" customFormat="false" ht="15" hidden="false" customHeight="true" outlineLevel="0" collapsed="false">
      <c r="A30" s="7" t="s">
        <v>39</v>
      </c>
      <c r="B30" s="16" t="n">
        <v>8</v>
      </c>
      <c r="D30" s="10" t="s">
        <v>40</v>
      </c>
    </row>
    <row r="31" customFormat="false" ht="15" hidden="false" customHeight="true" outlineLevel="0" collapsed="false">
      <c r="A31" s="7" t="s">
        <v>41</v>
      </c>
      <c r="B31" s="16" t="n">
        <v>2</v>
      </c>
      <c r="D31" s="10" t="s">
        <v>42</v>
      </c>
    </row>
    <row r="32" customFormat="false" ht="15" hidden="false" customHeight="true" outlineLevel="0" collapsed="false">
      <c r="A32" s="7" t="s">
        <v>43</v>
      </c>
      <c r="B32" s="16" t="n">
        <v>22</v>
      </c>
      <c r="D32" s="10" t="s">
        <v>44</v>
      </c>
    </row>
    <row r="33" customFormat="false" ht="15" hidden="false" customHeight="true" outlineLevel="0" collapsed="false">
      <c r="A33" s="7" t="s">
        <v>45</v>
      </c>
      <c r="B33" s="16" t="n">
        <v>0</v>
      </c>
      <c r="D33" s="10" t="s">
        <v>46</v>
      </c>
    </row>
    <row r="34" customFormat="false" ht="15" hidden="false" customHeight="true" outlineLevel="0" collapsed="false">
      <c r="A34" s="7" t="s">
        <v>47</v>
      </c>
      <c r="B34" s="16" t="n">
        <v>3000</v>
      </c>
      <c r="D34" s="10" t="s">
        <v>48</v>
      </c>
    </row>
    <row r="35" customFormat="false" ht="15" hidden="false" customHeight="true" outlineLevel="0" collapsed="false">
      <c r="A35" s="7" t="s">
        <v>49</v>
      </c>
      <c r="B35" s="16" t="n">
        <v>200</v>
      </c>
      <c r="D35" s="10" t="s">
        <v>50</v>
      </c>
    </row>
    <row r="36" customFormat="false" ht="15" hidden="false" customHeight="true" outlineLevel="0" collapsed="false">
      <c r="A36" s="11" t="s">
        <v>51</v>
      </c>
      <c r="B36" s="17" t="n">
        <f aca="false">SUM(B27:B35)</f>
        <v>3281</v>
      </c>
    </row>
    <row r="38" customFormat="false" ht="15" hidden="false" customHeight="true" outlineLevel="0" collapsed="false">
      <c r="A38" s="4" t="s">
        <v>52</v>
      </c>
      <c r="B38" s="5"/>
      <c r="C38" s="5"/>
      <c r="D38" s="5"/>
    </row>
    <row r="39" customFormat="false" ht="26.25" hidden="false" customHeight="true" outlineLevel="0" collapsed="false">
      <c r="A39" s="6" t="s">
        <v>53</v>
      </c>
      <c r="B39" s="6" t="s">
        <v>54</v>
      </c>
      <c r="C39" s="6" t="s">
        <v>55</v>
      </c>
      <c r="D39" s="6" t="s">
        <v>56</v>
      </c>
    </row>
    <row r="40" customFormat="false" ht="15" hidden="false" customHeight="true" outlineLevel="0" collapsed="false">
      <c r="A40" s="7" t="s">
        <v>57</v>
      </c>
      <c r="B40" s="9" t="n">
        <v>0.029</v>
      </c>
      <c r="C40" s="15" t="n">
        <f aca="false">ROUND(30.24*B40+0.3,2)</f>
        <v>1.18</v>
      </c>
      <c r="D40" s="12" t="n">
        <f aca="false">ROUND(30.24-C40,2)</f>
        <v>29.06</v>
      </c>
    </row>
    <row r="41" customFormat="false" ht="15" hidden="false" customHeight="true" outlineLevel="0" collapsed="false">
      <c r="A41" s="7" t="s">
        <v>58</v>
      </c>
      <c r="B41" s="9" t="n">
        <v>0.3</v>
      </c>
      <c r="C41" s="15" t="n">
        <f aca="false">ROUND(30.24*B41,2)</f>
        <v>9.07</v>
      </c>
      <c r="D41" s="12" t="n">
        <f aca="false">ROUND(30.24-C41,2)</f>
        <v>21.17</v>
      </c>
    </row>
    <row r="42" customFormat="false" ht="15" hidden="false" customHeight="true" outlineLevel="0" collapsed="false">
      <c r="A42" s="7" t="s">
        <v>59</v>
      </c>
      <c r="B42" s="9" t="n">
        <v>0.15</v>
      </c>
      <c r="C42" s="15" t="n">
        <f aca="false">ROUND(30.24*B42,2)</f>
        <v>4.54</v>
      </c>
      <c r="D42" s="12" t="n">
        <f aca="false">ROUND(30.24-C42,2)</f>
        <v>25.7</v>
      </c>
    </row>
    <row r="43" customFormat="false" ht="15" hidden="false" customHeight="true" outlineLevel="0" collapsed="false">
      <c r="A43" s="7" t="s">
        <v>60</v>
      </c>
      <c r="B43" s="9" t="n">
        <v>0.15</v>
      </c>
      <c r="C43" s="15" t="n">
        <f aca="false">ROUND(30.24*B43,2)</f>
        <v>4.54</v>
      </c>
      <c r="D43" s="12" t="n">
        <f aca="false">ROUND(30.24-C43,2)</f>
        <v>25.7</v>
      </c>
    </row>
    <row r="45" customFormat="false" ht="15" hidden="false" customHeight="true" outlineLevel="0" collapsed="false">
      <c r="A45" s="4" t="s">
        <v>61</v>
      </c>
      <c r="B45" s="5"/>
      <c r="C45" s="5"/>
      <c r="D45" s="5"/>
    </row>
    <row r="46" customFormat="false" ht="15" hidden="false" customHeight="true" outlineLevel="0" collapsed="false">
      <c r="A46" s="6" t="s">
        <v>62</v>
      </c>
      <c r="B46" s="6" t="s">
        <v>63</v>
      </c>
      <c r="C46" s="6" t="s">
        <v>30</v>
      </c>
      <c r="D46" s="6" t="s">
        <v>64</v>
      </c>
    </row>
    <row r="47" customFormat="false" ht="15" hidden="false" customHeight="true" outlineLevel="0" collapsed="false">
      <c r="A47" s="7" t="s">
        <v>57</v>
      </c>
      <c r="B47" s="12" t="n">
        <f aca="false">D40-5.76</f>
        <v>23.3</v>
      </c>
      <c r="C47" s="18" t="n">
        <f aca="false">B47/30.24</f>
        <v>0.770502645502646</v>
      </c>
      <c r="D47" s="17" t="n">
        <f aca="false">B47*500*12</f>
        <v>139800</v>
      </c>
    </row>
    <row r="48" customFormat="false" ht="15" hidden="false" customHeight="true" outlineLevel="0" collapsed="false">
      <c r="A48" s="7" t="s">
        <v>58</v>
      </c>
      <c r="B48" s="12" t="n">
        <f aca="false">D41-5.76</f>
        <v>15.41</v>
      </c>
      <c r="C48" s="18" t="n">
        <f aca="false">B48/30.24</f>
        <v>0.509589947089947</v>
      </c>
      <c r="D48" s="17" t="n">
        <f aca="false">B48*500*12</f>
        <v>92460</v>
      </c>
    </row>
    <row r="49" customFormat="false" ht="15" hidden="false" customHeight="true" outlineLevel="0" collapsed="false">
      <c r="A49" s="7" t="s">
        <v>59</v>
      </c>
      <c r="B49" s="12" t="n">
        <f aca="false">D42-5.76</f>
        <v>19.94</v>
      </c>
      <c r="C49" s="18" t="n">
        <f aca="false">B49/30.24</f>
        <v>0.659391534391534</v>
      </c>
      <c r="D49" s="17" t="n">
        <f aca="false">B49*500*12</f>
        <v>119640</v>
      </c>
    </row>
    <row r="50" customFormat="false" ht="15" hidden="false" customHeight="true" outlineLevel="0" collapsed="false">
      <c r="A50" s="7" t="s">
        <v>60</v>
      </c>
      <c r="B50" s="12" t="n">
        <f aca="false">D43-5.76</f>
        <v>19.94</v>
      </c>
      <c r="C50" s="18" t="n">
        <f aca="false">B50/30.24</f>
        <v>0.659391534391534</v>
      </c>
      <c r="D50" s="17" t="n">
        <f aca="false">B50*500*12</f>
        <v>119640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13" min="2" style="1" width="14"/>
  </cols>
  <sheetData>
    <row r="1" customFormat="false" ht="17.25" hidden="false" customHeight="true" outlineLevel="0" collapsed="false">
      <c r="A1" s="2" t="s">
        <v>65</v>
      </c>
    </row>
    <row r="2" customFormat="false" ht="15" hidden="false" customHeight="true" outlineLevel="0" collapsed="false">
      <c r="A2" s="3" t="s">
        <v>66</v>
      </c>
    </row>
    <row r="4" customFormat="false" ht="15" hidden="false" customHeight="true" outlineLevel="0" collapsed="false">
      <c r="A4" s="4" t="s">
        <v>67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customFormat="false" ht="15" hidden="false" customHeight="true" outlineLevel="0" collapsed="false">
      <c r="A6" s="7" t="s">
        <v>68</v>
      </c>
      <c r="B6" s="14" t="n">
        <v>80</v>
      </c>
      <c r="C6" s="19" t="s">
        <v>69</v>
      </c>
    </row>
    <row r="7" customFormat="false" ht="15" hidden="false" customHeight="true" outlineLevel="0" collapsed="false">
      <c r="A7" s="7" t="s">
        <v>70</v>
      </c>
      <c r="B7" s="20" t="n">
        <v>1.5</v>
      </c>
      <c r="C7" s="19" t="s">
        <v>71</v>
      </c>
    </row>
    <row r="8" customFormat="false" ht="15" hidden="false" customHeight="true" outlineLevel="0" collapsed="false">
      <c r="A8" s="7" t="s">
        <v>72</v>
      </c>
      <c r="B8" s="9" t="n">
        <v>0.2</v>
      </c>
      <c r="C8" s="19" t="s">
        <v>73</v>
      </c>
    </row>
    <row r="9" customFormat="false" ht="15" hidden="false" customHeight="true" outlineLevel="0" collapsed="false">
      <c r="A9" s="7" t="s">
        <v>74</v>
      </c>
      <c r="B9" s="9" t="n">
        <v>0.06</v>
      </c>
      <c r="C9" s="19" t="s">
        <v>75</v>
      </c>
    </row>
    <row r="10" customFormat="false" ht="15" hidden="false" customHeight="true" outlineLevel="0" collapsed="false">
      <c r="A10" s="7" t="s">
        <v>76</v>
      </c>
      <c r="B10" s="9" t="n">
        <v>0.06</v>
      </c>
      <c r="C10" s="19" t="s">
        <v>77</v>
      </c>
    </row>
    <row r="11" customFormat="false" ht="15" hidden="false" customHeight="true" outlineLevel="0" collapsed="false">
      <c r="A11" s="7" t="s">
        <v>78</v>
      </c>
      <c r="B11" s="9" t="n">
        <v>0.45</v>
      </c>
      <c r="C11" s="19"/>
    </row>
    <row r="12" customFormat="false" ht="15" hidden="false" customHeight="true" outlineLevel="0" collapsed="false">
      <c r="A12" s="7" t="s">
        <v>79</v>
      </c>
      <c r="B12" s="9" t="n">
        <v>0.38</v>
      </c>
      <c r="C12" s="19"/>
    </row>
    <row r="13" customFormat="false" ht="15" hidden="false" customHeight="true" outlineLevel="0" collapsed="false">
      <c r="A13" s="7" t="s">
        <v>80</v>
      </c>
      <c r="B13" s="9" t="n">
        <v>0.17</v>
      </c>
      <c r="C13" s="19"/>
    </row>
    <row r="14" customFormat="false" ht="15" hidden="false" customHeight="true" outlineLevel="0" collapsed="false">
      <c r="A14" s="7" t="s">
        <v>81</v>
      </c>
      <c r="B14" s="9" t="n">
        <v>0.7</v>
      </c>
      <c r="C14" s="19"/>
    </row>
    <row r="15" customFormat="false" ht="15" hidden="false" customHeight="true" outlineLevel="0" collapsed="false">
      <c r="A15" s="7" t="s">
        <v>82</v>
      </c>
      <c r="B15" s="16" t="n">
        <v>500</v>
      </c>
      <c r="C15" s="19" t="s">
        <v>83</v>
      </c>
    </row>
    <row r="16" customFormat="false" ht="15" hidden="false" customHeight="true" outlineLevel="0" collapsed="false">
      <c r="A16" s="7" t="s">
        <v>84</v>
      </c>
      <c r="B16" s="16" t="n">
        <v>1000</v>
      </c>
      <c r="C16" s="19" t="s">
        <v>85</v>
      </c>
    </row>
    <row r="17" customFormat="false" ht="15" hidden="false" customHeight="true" outlineLevel="0" collapsed="false">
      <c r="A17" s="7" t="s">
        <v>86</v>
      </c>
      <c r="B17" s="16" t="n">
        <v>2000</v>
      </c>
      <c r="C17" s="19" t="s">
        <v>87</v>
      </c>
    </row>
    <row r="18" customFormat="false" ht="15" hidden="false" customHeight="true" outlineLevel="0" collapsed="false">
      <c r="A18" s="7" t="s">
        <v>88</v>
      </c>
      <c r="B18" s="16" t="n">
        <v>281</v>
      </c>
      <c r="C18" s="19" t="s">
        <v>89</v>
      </c>
    </row>
    <row r="19" customFormat="false" ht="15" hidden="false" customHeight="true" outlineLevel="0" collapsed="false">
      <c r="A19" s="7" t="s">
        <v>90</v>
      </c>
      <c r="B19" s="8" t="n">
        <v>30.24</v>
      </c>
      <c r="C19" s="19" t="s">
        <v>91</v>
      </c>
    </row>
    <row r="20" customFormat="false" ht="15" hidden="false" customHeight="true" outlineLevel="0" collapsed="false">
      <c r="A20" s="7" t="s">
        <v>92</v>
      </c>
      <c r="B20" s="8" t="n">
        <v>5.76</v>
      </c>
      <c r="C20" s="19" t="s">
        <v>93</v>
      </c>
    </row>
    <row r="21" customFormat="false" ht="15" hidden="false" customHeight="true" outlineLevel="0" collapsed="false">
      <c r="A21" s="7" t="s">
        <v>94</v>
      </c>
      <c r="B21" s="9" t="n">
        <v>0.3</v>
      </c>
      <c r="C21" s="19" t="s">
        <v>95</v>
      </c>
    </row>
    <row r="22" customFormat="false" ht="15" hidden="false" customHeight="true" outlineLevel="0" collapsed="false">
      <c r="A22" s="7" t="s">
        <v>96</v>
      </c>
      <c r="B22" s="9" t="n">
        <v>0.15</v>
      </c>
      <c r="C22" s="19" t="s">
        <v>97</v>
      </c>
    </row>
    <row r="23" customFormat="false" ht="15" hidden="false" customHeight="true" outlineLevel="0" collapsed="false">
      <c r="A23" s="11" t="s">
        <v>98</v>
      </c>
      <c r="B23" s="13" t="n">
        <f aca="false">B21*B22+(1-B21)*0.029</f>
        <v>0.0653</v>
      </c>
      <c r="C23" s="19" t="s">
        <v>99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4" t="s">
        <v>100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true" outlineLevel="0" collapsed="false">
      <c r="A26" s="6" t="s">
        <v>101</v>
      </c>
      <c r="B26" s="6" t="s">
        <v>102</v>
      </c>
      <c r="C26" s="6" t="s">
        <v>103</v>
      </c>
      <c r="D26" s="6" t="s">
        <v>104</v>
      </c>
      <c r="E26" s="6" t="s">
        <v>105</v>
      </c>
      <c r="F26" s="6" t="s">
        <v>106</v>
      </c>
      <c r="G26" s="6" t="s">
        <v>107</v>
      </c>
      <c r="H26" s="6" t="s">
        <v>108</v>
      </c>
      <c r="I26" s="6" t="s">
        <v>109</v>
      </c>
      <c r="J26" s="6" t="s">
        <v>110</v>
      </c>
      <c r="K26" s="6" t="s">
        <v>111</v>
      </c>
      <c r="L26" s="6" t="s">
        <v>112</v>
      </c>
      <c r="M26" s="6" t="s">
        <v>113</v>
      </c>
    </row>
    <row r="27" customFormat="false" ht="15" hidden="false" customHeight="true" outlineLevel="0" collapsed="false">
      <c r="A27" s="7" t="s">
        <v>114</v>
      </c>
      <c r="B27" s="21" t="n">
        <f aca="false">$B$6</f>
        <v>80</v>
      </c>
      <c r="C27" s="21" t="n">
        <f aca="false">ROUND(B27*(1+$B$8),0)</f>
        <v>96</v>
      </c>
      <c r="D27" s="21" t="n">
        <f aca="false">ROUND(C27*(1+$B$8),0)</f>
        <v>115</v>
      </c>
      <c r="E27" s="21" t="n">
        <f aca="false">ROUND(D27*(1+$B$8),0)</f>
        <v>138</v>
      </c>
      <c r="F27" s="21" t="n">
        <f aca="false">ROUND(E27*(1+$B$8),0)</f>
        <v>166</v>
      </c>
      <c r="G27" s="21" t="n">
        <f aca="false">ROUND(F27*(1+$B$8),0)</f>
        <v>199</v>
      </c>
      <c r="H27" s="21" t="n">
        <f aca="false">ROUND(G27*(1+$B$8),0)</f>
        <v>239</v>
      </c>
      <c r="I27" s="21" t="n">
        <f aca="false">ROUND(H27*(1+$B$8),0)</f>
        <v>287</v>
      </c>
      <c r="J27" s="21" t="n">
        <f aca="false">ROUND(I27*(1+$B$8),0)</f>
        <v>344</v>
      </c>
      <c r="K27" s="21" t="n">
        <f aca="false">ROUND(J27*(1+$B$8),0)</f>
        <v>413</v>
      </c>
      <c r="L27" s="21" t="n">
        <f aca="false">ROUND(K27*(1+$B$8),0)</f>
        <v>496</v>
      </c>
      <c r="M27" s="21" t="n">
        <f aca="false">ROUND(L27*(1+$B$8),0)</f>
        <v>595</v>
      </c>
    </row>
    <row r="28" customFormat="false" ht="15" hidden="false" customHeight="true" outlineLevel="0" collapsed="false">
      <c r="A28" s="7" t="s">
        <v>115</v>
      </c>
      <c r="B28" s="21" t="n">
        <f aca="false">ROUND(B27*$B$7,0)</f>
        <v>120</v>
      </c>
      <c r="C28" s="21" t="n">
        <f aca="false">ROUND(C27*$B$7,0)</f>
        <v>144</v>
      </c>
      <c r="D28" s="21" t="n">
        <f aca="false">ROUND(D27*$B$7,0)</f>
        <v>173</v>
      </c>
      <c r="E28" s="21" t="n">
        <f aca="false">ROUND(E27*$B$7,0)</f>
        <v>207</v>
      </c>
      <c r="F28" s="21" t="n">
        <f aca="false">ROUND(F27*$B$7,0)</f>
        <v>249</v>
      </c>
      <c r="G28" s="21" t="n">
        <f aca="false">ROUND(G27*$B$7,0)</f>
        <v>299</v>
      </c>
      <c r="H28" s="21" t="n">
        <f aca="false">ROUND(H27*$B$7,0)</f>
        <v>359</v>
      </c>
      <c r="I28" s="21" t="n">
        <f aca="false">ROUND(I27*$B$7,0)</f>
        <v>431</v>
      </c>
      <c r="J28" s="21" t="n">
        <f aca="false">ROUND(J27*$B$7,0)</f>
        <v>516</v>
      </c>
      <c r="K28" s="21" t="n">
        <f aca="false">ROUND(K27*$B$7,0)</f>
        <v>620</v>
      </c>
      <c r="L28" s="21" t="n">
        <f aca="false">ROUND(L27*$B$7,0)</f>
        <v>744</v>
      </c>
      <c r="M28" s="21" t="n">
        <f aca="false">ROUND(M27*$B$7,0)</f>
        <v>893</v>
      </c>
    </row>
    <row r="29" customFormat="false" ht="15" hidden="false" customHeight="true" outlineLevel="0" collapsed="false">
      <c r="A29" s="7" t="s">
        <v>116</v>
      </c>
      <c r="B29" s="21" t="n">
        <f aca="false">ROUND(B28*$B$9,0)</f>
        <v>7</v>
      </c>
      <c r="C29" s="21" t="n">
        <f aca="false">ROUND(C28*$B$9,0)</f>
        <v>9</v>
      </c>
      <c r="D29" s="21" t="n">
        <f aca="false">ROUND(D28*$B$9,0)</f>
        <v>10</v>
      </c>
      <c r="E29" s="21" t="n">
        <f aca="false">ROUND(E28*$B$9,0)</f>
        <v>12</v>
      </c>
      <c r="F29" s="21" t="n">
        <f aca="false">ROUND(F28*$B$9,0)</f>
        <v>15</v>
      </c>
      <c r="G29" s="21" t="n">
        <f aca="false">ROUND(G28*$B$9,0)</f>
        <v>18</v>
      </c>
      <c r="H29" s="21" t="n">
        <f aca="false">ROUND(H28*$B$9,0)</f>
        <v>22</v>
      </c>
      <c r="I29" s="21" t="n">
        <f aca="false">ROUND(I28*$B$9,0)</f>
        <v>26</v>
      </c>
      <c r="J29" s="21" t="n">
        <f aca="false">ROUND(J28*$B$9,0)</f>
        <v>31</v>
      </c>
      <c r="K29" s="21" t="n">
        <f aca="false">ROUND(K28*$B$9,0)</f>
        <v>37</v>
      </c>
      <c r="L29" s="21" t="n">
        <f aca="false">ROUND(L28*$B$9,0)</f>
        <v>45</v>
      </c>
      <c r="M29" s="21" t="n">
        <f aca="false">ROUND(M28*$B$9,0)</f>
        <v>54</v>
      </c>
    </row>
    <row r="30" customFormat="false" ht="15" hidden="false" customHeight="true" outlineLevel="0" collapsed="false">
      <c r="A30" s="7" t="s">
        <v>117</v>
      </c>
      <c r="B30" s="21" t="n">
        <v>0</v>
      </c>
      <c r="C30" s="21" t="n">
        <f aca="false">ROUND(B31*$B$10,0)</f>
        <v>0</v>
      </c>
      <c r="D30" s="21" t="n">
        <f aca="false">ROUND(C31*$B$10,0)</f>
        <v>1</v>
      </c>
      <c r="E30" s="21" t="n">
        <f aca="false">ROUND(D31*$B$10,0)</f>
        <v>2</v>
      </c>
      <c r="F30" s="21" t="n">
        <f aca="false">ROUND(E31*$B$10,0)</f>
        <v>2</v>
      </c>
      <c r="G30" s="21" t="n">
        <f aca="false">ROUND(F31*$B$10,0)</f>
        <v>3</v>
      </c>
      <c r="H30" s="21" t="n">
        <f aca="false">ROUND(G31*$B$10,0)</f>
        <v>4</v>
      </c>
      <c r="I30" s="21" t="n">
        <f aca="false">ROUND(H31*$B$10,0)</f>
        <v>5</v>
      </c>
      <c r="J30" s="21" t="n">
        <f aca="false">ROUND(I31*$B$10,0)</f>
        <v>6</v>
      </c>
      <c r="K30" s="21" t="n">
        <f aca="false">ROUND(J31*$B$10,0)</f>
        <v>8</v>
      </c>
      <c r="L30" s="21" t="n">
        <f aca="false">ROUND(K31*$B$10,0)</f>
        <v>9</v>
      </c>
      <c r="M30" s="21" t="n">
        <f aca="false">ROUND(L31*$B$10,0)</f>
        <v>12</v>
      </c>
    </row>
    <row r="31" customFormat="false" ht="15" hidden="false" customHeight="true" outlineLevel="0" collapsed="false">
      <c r="A31" s="11" t="s">
        <v>118</v>
      </c>
      <c r="B31" s="22" t="n">
        <f aca="false">B29</f>
        <v>7</v>
      </c>
      <c r="C31" s="22" t="n">
        <f aca="false">B31+C29-C30</f>
        <v>16</v>
      </c>
      <c r="D31" s="22" t="n">
        <f aca="false">C31+D29-D30</f>
        <v>25</v>
      </c>
      <c r="E31" s="22" t="n">
        <f aca="false">D31+E29-E30</f>
        <v>35</v>
      </c>
      <c r="F31" s="22" t="n">
        <f aca="false">E31+F29-F30</f>
        <v>48</v>
      </c>
      <c r="G31" s="22" t="n">
        <f aca="false">F31+G29-G30</f>
        <v>63</v>
      </c>
      <c r="H31" s="22" t="n">
        <f aca="false">G31+H29-H30</f>
        <v>81</v>
      </c>
      <c r="I31" s="22" t="n">
        <f aca="false">H31+I29-I30</f>
        <v>102</v>
      </c>
      <c r="J31" s="22" t="n">
        <f aca="false">I31+J29-J30</f>
        <v>127</v>
      </c>
      <c r="K31" s="22" t="n">
        <f aca="false">J31+K29-K30</f>
        <v>156</v>
      </c>
      <c r="L31" s="22" t="n">
        <f aca="false">K31+L29-L30</f>
        <v>192</v>
      </c>
      <c r="M31" s="22" t="n">
        <f aca="false">L31+M29-M30</f>
        <v>234</v>
      </c>
    </row>
    <row r="32" customFormat="false" ht="15" hidden="false" customHeight="true" outlineLevel="0" collapsed="false">
      <c r="A32" s="23"/>
    </row>
    <row r="33" customFormat="false" ht="15" hidden="false" customHeight="true" outlineLevel="0" collapsed="false">
      <c r="A33" s="11" t="s">
        <v>119</v>
      </c>
      <c r="B33" s="24" t="n">
        <f aca="false">B31*$B$19</f>
        <v>211.68</v>
      </c>
      <c r="C33" s="24" t="n">
        <f aca="false">C31*$B$19</f>
        <v>483.84</v>
      </c>
      <c r="D33" s="24" t="n">
        <f aca="false">D31*$B$19</f>
        <v>756</v>
      </c>
      <c r="E33" s="24" t="n">
        <f aca="false">E31*$B$19</f>
        <v>1058.4</v>
      </c>
      <c r="F33" s="24" t="n">
        <f aca="false">F31*$B$19</f>
        <v>1451.52</v>
      </c>
      <c r="G33" s="24" t="n">
        <f aca="false">G31*$B$19</f>
        <v>1905.12</v>
      </c>
      <c r="H33" s="24" t="n">
        <f aca="false">H31*$B$19</f>
        <v>2449.44</v>
      </c>
      <c r="I33" s="24" t="n">
        <f aca="false">I31*$B$19</f>
        <v>3084.48</v>
      </c>
      <c r="J33" s="24" t="n">
        <f aca="false">J31*$B$19</f>
        <v>3840.48</v>
      </c>
      <c r="K33" s="24" t="n">
        <f aca="false">K31*$B$19</f>
        <v>4717.44</v>
      </c>
      <c r="L33" s="24" t="n">
        <f aca="false">L31*$B$19</f>
        <v>5806.08</v>
      </c>
      <c r="M33" s="24" t="n">
        <f aca="false">M31*$B$19</f>
        <v>7076.16</v>
      </c>
    </row>
    <row r="34" customFormat="false" ht="15" hidden="false" customHeight="true" outlineLevel="0" collapsed="false">
      <c r="A34" s="7" t="s">
        <v>120</v>
      </c>
      <c r="B34" s="25" t="n">
        <f aca="false">B33*$B$23</f>
        <v>13.822704</v>
      </c>
      <c r="C34" s="25" t="n">
        <f aca="false">C33*$B$23</f>
        <v>31.594752</v>
      </c>
      <c r="D34" s="25" t="n">
        <f aca="false">D33*$B$23</f>
        <v>49.3668</v>
      </c>
      <c r="E34" s="25" t="n">
        <f aca="false">E33*$B$23</f>
        <v>69.11352</v>
      </c>
      <c r="F34" s="25" t="n">
        <f aca="false">F33*$B$23</f>
        <v>94.784256</v>
      </c>
      <c r="G34" s="25" t="n">
        <f aca="false">G33*$B$23</f>
        <v>124.404336</v>
      </c>
      <c r="H34" s="25" t="n">
        <f aca="false">H33*$B$23</f>
        <v>159.948432</v>
      </c>
      <c r="I34" s="25" t="n">
        <f aca="false">I33*$B$23</f>
        <v>201.416544</v>
      </c>
      <c r="J34" s="25" t="n">
        <f aca="false">J33*$B$23</f>
        <v>250.783344</v>
      </c>
      <c r="K34" s="25" t="n">
        <f aca="false">K33*$B$23</f>
        <v>308.048832</v>
      </c>
      <c r="L34" s="25" t="n">
        <f aca="false">L33*$B$23</f>
        <v>379.137024</v>
      </c>
      <c r="M34" s="25" t="n">
        <f aca="false">M33*$B$23</f>
        <v>462.073248</v>
      </c>
    </row>
    <row r="35" customFormat="false" ht="15" hidden="false" customHeight="true" outlineLevel="0" collapsed="false">
      <c r="A35" s="11" t="s">
        <v>121</v>
      </c>
      <c r="B35" s="24" t="n">
        <f aca="false">B33-B34</f>
        <v>197.857296</v>
      </c>
      <c r="C35" s="24" t="n">
        <f aca="false">C33-C34</f>
        <v>452.245248</v>
      </c>
      <c r="D35" s="24" t="n">
        <f aca="false">D33-D34</f>
        <v>706.6332</v>
      </c>
      <c r="E35" s="24" t="n">
        <f aca="false">E33-E34</f>
        <v>989.28648</v>
      </c>
      <c r="F35" s="24" t="n">
        <f aca="false">F33-F34</f>
        <v>1356.735744</v>
      </c>
      <c r="G35" s="24" t="n">
        <f aca="false">G33-G34</f>
        <v>1780.715664</v>
      </c>
      <c r="H35" s="24" t="n">
        <f aca="false">H33-H34</f>
        <v>2289.491568</v>
      </c>
      <c r="I35" s="24" t="n">
        <f aca="false">I33-I34</f>
        <v>2883.063456</v>
      </c>
      <c r="J35" s="24" t="n">
        <f aca="false">J33-J34</f>
        <v>3589.696656</v>
      </c>
      <c r="K35" s="24" t="n">
        <f aca="false">K33-K34</f>
        <v>4409.391168</v>
      </c>
      <c r="L35" s="24" t="n">
        <f aca="false">L33-L34</f>
        <v>5426.942976</v>
      </c>
      <c r="M35" s="24" t="n">
        <f aca="false">M33-M34</f>
        <v>6614.086752</v>
      </c>
    </row>
    <row r="36" customFormat="false" ht="15" hidden="false" customHeight="true" outlineLevel="0" collapsed="false">
      <c r="A36" s="7" t="s">
        <v>122</v>
      </c>
      <c r="B36" s="25" t="n">
        <f aca="false">B31*$B$20</f>
        <v>40.32</v>
      </c>
      <c r="C36" s="25" t="n">
        <f aca="false">C31*$B$20</f>
        <v>92.16</v>
      </c>
      <c r="D36" s="25" t="n">
        <f aca="false">D31*$B$20</f>
        <v>144</v>
      </c>
      <c r="E36" s="25" t="n">
        <f aca="false">E31*$B$20</f>
        <v>201.6</v>
      </c>
      <c r="F36" s="25" t="n">
        <f aca="false">F31*$B$20</f>
        <v>276.48</v>
      </c>
      <c r="G36" s="25" t="n">
        <f aca="false">G31*$B$20</f>
        <v>362.88</v>
      </c>
      <c r="H36" s="25" t="n">
        <f aca="false">H31*$B$20</f>
        <v>466.56</v>
      </c>
      <c r="I36" s="25" t="n">
        <f aca="false">I31*$B$20</f>
        <v>587.52</v>
      </c>
      <c r="J36" s="25" t="n">
        <f aca="false">J31*$B$20</f>
        <v>731.52</v>
      </c>
      <c r="K36" s="25" t="n">
        <f aca="false">K31*$B$20</f>
        <v>898.56</v>
      </c>
      <c r="L36" s="25" t="n">
        <f aca="false">L31*$B$20</f>
        <v>1105.92</v>
      </c>
      <c r="M36" s="25" t="n">
        <f aca="false">M31*$B$20</f>
        <v>1347.84</v>
      </c>
    </row>
    <row r="37" customFormat="false" ht="15" hidden="false" customHeight="true" outlineLevel="0" collapsed="false">
      <c r="A37" s="11" t="s">
        <v>29</v>
      </c>
      <c r="B37" s="24" t="n">
        <f aca="false">B35-B36</f>
        <v>157.537296</v>
      </c>
      <c r="C37" s="24" t="n">
        <f aca="false">C35-C36</f>
        <v>360.085248</v>
      </c>
      <c r="D37" s="24" t="n">
        <f aca="false">D35-D36</f>
        <v>562.6332</v>
      </c>
      <c r="E37" s="24" t="n">
        <f aca="false">E35-E36</f>
        <v>787.68648</v>
      </c>
      <c r="F37" s="24" t="n">
        <f aca="false">F35-F36</f>
        <v>1080.255744</v>
      </c>
      <c r="G37" s="24" t="n">
        <f aca="false">G35-G36</f>
        <v>1417.835664</v>
      </c>
      <c r="H37" s="24" t="n">
        <f aca="false">H35-H36</f>
        <v>1822.931568</v>
      </c>
      <c r="I37" s="24" t="n">
        <f aca="false">I35-I36</f>
        <v>2295.543456</v>
      </c>
      <c r="J37" s="24" t="n">
        <f aca="false">J35-J36</f>
        <v>2858.176656</v>
      </c>
      <c r="K37" s="24" t="n">
        <f aca="false">K35-K36</f>
        <v>3510.831168</v>
      </c>
      <c r="L37" s="24" t="n">
        <f aca="false">L35-L36</f>
        <v>4321.022976</v>
      </c>
      <c r="M37" s="24" t="n">
        <f aca="false">M35-M36</f>
        <v>5266.246752</v>
      </c>
    </row>
    <row r="38" customFormat="false" ht="15" hidden="false" customHeight="true" outlineLevel="0" collapsed="false">
      <c r="A38" s="7" t="s">
        <v>123</v>
      </c>
      <c r="B38" s="18" t="n">
        <f aca="false">IF(B33&gt;0,B37/B33,0)</f>
        <v>0.74422380952381</v>
      </c>
      <c r="C38" s="18" t="n">
        <f aca="false">IF(C33&gt;0,C37/C33,0)</f>
        <v>0.74422380952381</v>
      </c>
      <c r="D38" s="18" t="n">
        <f aca="false">IF(D33&gt;0,D37/D33,0)</f>
        <v>0.74422380952381</v>
      </c>
      <c r="E38" s="18" t="n">
        <f aca="false">IF(E33&gt;0,E37/E33,0)</f>
        <v>0.74422380952381</v>
      </c>
      <c r="F38" s="18" t="n">
        <f aca="false">IF(F33&gt;0,F37/F33,0)</f>
        <v>0.74422380952381</v>
      </c>
      <c r="G38" s="18" t="n">
        <f aca="false">IF(G33&gt;0,G37/G33,0)</f>
        <v>0.744223809523809</v>
      </c>
      <c r="H38" s="18" t="n">
        <f aca="false">IF(H33&gt;0,H37/H33,0)</f>
        <v>0.74422380952381</v>
      </c>
      <c r="I38" s="18" t="n">
        <f aca="false">IF(I33&gt;0,I37/I33,0)</f>
        <v>0.74422380952381</v>
      </c>
      <c r="J38" s="18" t="n">
        <f aca="false">IF(J33&gt;0,J37/J33,0)</f>
        <v>0.74422380952381</v>
      </c>
      <c r="K38" s="18" t="n">
        <f aca="false">IF(K33&gt;0,K37/K33,0)</f>
        <v>0.74422380952381</v>
      </c>
      <c r="L38" s="18" t="n">
        <f aca="false">IF(L33&gt;0,L37/L33,0)</f>
        <v>0.74422380952381</v>
      </c>
      <c r="M38" s="18" t="n">
        <f aca="false">IF(M33&gt;0,M37/M33,0)</f>
        <v>0.74422380952381</v>
      </c>
    </row>
    <row r="39" customFormat="false" ht="15" hidden="false" customHeight="true" outlineLevel="0" collapsed="false">
      <c r="A39" s="23"/>
    </row>
    <row r="40" customFormat="false" ht="15" hidden="false" customHeight="true" outlineLevel="0" collapsed="false">
      <c r="A40" s="7" t="s">
        <v>124</v>
      </c>
      <c r="B40" s="25" t="n">
        <f aca="false">$B$18</f>
        <v>281</v>
      </c>
      <c r="C40" s="25" t="n">
        <f aca="false">$B$18</f>
        <v>281</v>
      </c>
      <c r="D40" s="25" t="n">
        <f aca="false">$B$18</f>
        <v>281</v>
      </c>
      <c r="E40" s="25" t="n">
        <f aca="false">$B$18</f>
        <v>281</v>
      </c>
      <c r="F40" s="25" t="n">
        <f aca="false">$B$18</f>
        <v>281</v>
      </c>
      <c r="G40" s="25" t="n">
        <f aca="false">$B$18</f>
        <v>281</v>
      </c>
      <c r="H40" s="25" t="n">
        <f aca="false">$B$18</f>
        <v>281</v>
      </c>
      <c r="I40" s="25" t="n">
        <f aca="false">$B$18</f>
        <v>281</v>
      </c>
      <c r="J40" s="25" t="n">
        <f aca="false">$B$18</f>
        <v>281</v>
      </c>
      <c r="K40" s="25" t="n">
        <f aca="false">$B$18</f>
        <v>281</v>
      </c>
      <c r="L40" s="25" t="n">
        <f aca="false">$B$18</f>
        <v>281</v>
      </c>
      <c r="M40" s="25" t="n">
        <f aca="false">$B$18</f>
        <v>281</v>
      </c>
    </row>
    <row r="41" customFormat="false" ht="15" hidden="false" customHeight="true" outlineLevel="0" collapsed="false">
      <c r="A41" s="7" t="s">
        <v>47</v>
      </c>
      <c r="B41" s="25" t="n">
        <f aca="false">$B$15</f>
        <v>500</v>
      </c>
      <c r="C41" s="25" t="n">
        <f aca="false">$B$15</f>
        <v>500</v>
      </c>
      <c r="D41" s="25" t="n">
        <f aca="false">$B$15</f>
        <v>500</v>
      </c>
      <c r="E41" s="25" t="n">
        <f aca="false">$B$16</f>
        <v>1000</v>
      </c>
      <c r="F41" s="25" t="n">
        <f aca="false">$B$16</f>
        <v>1000</v>
      </c>
      <c r="G41" s="25" t="n">
        <f aca="false">$B$16</f>
        <v>1000</v>
      </c>
      <c r="H41" s="25" t="n">
        <f aca="false">$B$17</f>
        <v>2000</v>
      </c>
      <c r="I41" s="25" t="n">
        <f aca="false">$B$17</f>
        <v>2000</v>
      </c>
      <c r="J41" s="25" t="n">
        <f aca="false">$B$17</f>
        <v>2000</v>
      </c>
      <c r="K41" s="25" t="n">
        <f aca="false">$B$17</f>
        <v>2000</v>
      </c>
      <c r="L41" s="25" t="n">
        <f aca="false">$B$17</f>
        <v>2000</v>
      </c>
      <c r="M41" s="25" t="n">
        <f aca="false">$B$17</f>
        <v>2000</v>
      </c>
    </row>
    <row r="42" customFormat="false" ht="15" hidden="false" customHeight="true" outlineLevel="0" collapsed="false">
      <c r="A42" s="11" t="s">
        <v>125</v>
      </c>
      <c r="B42" s="24" t="n">
        <f aca="false">B36+B40+B41</f>
        <v>821.32</v>
      </c>
      <c r="C42" s="24" t="n">
        <f aca="false">C36+C40+C41</f>
        <v>873.16</v>
      </c>
      <c r="D42" s="24" t="n">
        <f aca="false">D36+D40+D41</f>
        <v>925</v>
      </c>
      <c r="E42" s="24" t="n">
        <f aca="false">E36+E40+E41</f>
        <v>1482.6</v>
      </c>
      <c r="F42" s="24" t="n">
        <f aca="false">F36+F40+F41</f>
        <v>1557.48</v>
      </c>
      <c r="G42" s="24" t="n">
        <f aca="false">G36+G40+G41</f>
        <v>1643.88</v>
      </c>
      <c r="H42" s="24" t="n">
        <f aca="false">H36+H40+H41</f>
        <v>2747.56</v>
      </c>
      <c r="I42" s="24" t="n">
        <f aca="false">I36+I40+I41</f>
        <v>2868.52</v>
      </c>
      <c r="J42" s="24" t="n">
        <f aca="false">J36+J40+J41</f>
        <v>3012.52</v>
      </c>
      <c r="K42" s="24" t="n">
        <f aca="false">K36+K40+K41</f>
        <v>3179.56</v>
      </c>
      <c r="L42" s="24" t="n">
        <f aca="false">L36+L40+L41</f>
        <v>3386.92</v>
      </c>
      <c r="M42" s="24" t="n">
        <f aca="false">M36+M40+M41</f>
        <v>3628.84</v>
      </c>
    </row>
    <row r="43" customFormat="false" ht="15" hidden="false" customHeight="true" outlineLevel="0" collapsed="false">
      <c r="A43" s="23"/>
    </row>
    <row r="44" customFormat="false" ht="15" hidden="false" customHeight="true" outlineLevel="0" collapsed="false">
      <c r="A44" s="11" t="s">
        <v>126</v>
      </c>
      <c r="B44" s="26" t="n">
        <f aca="false">B35-B36-B40-B41</f>
        <v>-623.462704</v>
      </c>
      <c r="C44" s="26" t="n">
        <f aca="false">C35-C36-C40-C41</f>
        <v>-420.914752</v>
      </c>
      <c r="D44" s="26" t="n">
        <f aca="false">D35-D36-D40-D41</f>
        <v>-218.3668</v>
      </c>
      <c r="E44" s="26" t="n">
        <f aca="false">E35-E36-E40-E41</f>
        <v>-493.31352</v>
      </c>
      <c r="F44" s="26" t="n">
        <f aca="false">F35-F36-F40-F41</f>
        <v>-200.744256</v>
      </c>
      <c r="G44" s="26" t="n">
        <f aca="false">G35-G36-G40-G41</f>
        <v>136.835664</v>
      </c>
      <c r="H44" s="26" t="n">
        <f aca="false">H35-H36-H40-H41</f>
        <v>-458.068432</v>
      </c>
      <c r="I44" s="26" t="n">
        <f aca="false">I35-I36-I40-I41</f>
        <v>14.5434559999999</v>
      </c>
      <c r="J44" s="26" t="n">
        <f aca="false">J35-J36-J40-J41</f>
        <v>577.176656</v>
      </c>
      <c r="K44" s="26" t="n">
        <f aca="false">K35-K36-K40-K41</f>
        <v>1229.831168</v>
      </c>
      <c r="L44" s="26" t="n">
        <f aca="false">L35-L36-L40-L41</f>
        <v>2040.022976</v>
      </c>
      <c r="M44" s="26" t="n">
        <f aca="false">M35-M36-M40-M41</f>
        <v>2985.246752</v>
      </c>
    </row>
    <row r="45" customFormat="false" ht="15" hidden="false" customHeight="true" outlineLevel="0" collapsed="false">
      <c r="A45" s="7" t="s">
        <v>127</v>
      </c>
      <c r="B45" s="26" t="n">
        <f aca="false">B44</f>
        <v>-623.462704</v>
      </c>
      <c r="C45" s="26" t="n">
        <f aca="false">B45+C44</f>
        <v>-1044.377456</v>
      </c>
      <c r="D45" s="26" t="n">
        <f aca="false">C45+D44</f>
        <v>-1262.744256</v>
      </c>
      <c r="E45" s="26" t="n">
        <f aca="false">D45+E44</f>
        <v>-1756.057776</v>
      </c>
      <c r="F45" s="26" t="n">
        <f aca="false">E45+F44</f>
        <v>-1956.802032</v>
      </c>
      <c r="G45" s="26" t="n">
        <f aca="false">F45+G44</f>
        <v>-1819.966368</v>
      </c>
      <c r="H45" s="26" t="n">
        <f aca="false">G45+H44</f>
        <v>-2278.0348</v>
      </c>
      <c r="I45" s="26" t="n">
        <f aca="false">H45+I44</f>
        <v>-2263.491344</v>
      </c>
      <c r="J45" s="26" t="n">
        <f aca="false">I45+J44</f>
        <v>-1686.314688</v>
      </c>
      <c r="K45" s="26" t="n">
        <f aca="false">J45+K44</f>
        <v>-456.48352</v>
      </c>
      <c r="L45" s="26" t="n">
        <f aca="false">K45+L44</f>
        <v>1583.539456</v>
      </c>
      <c r="M45" s="26" t="n">
        <f aca="false">L45+M44</f>
        <v>4568.786208</v>
      </c>
    </row>
    <row r="46" customFormat="false" ht="15" hidden="false" customHeight="true" outlineLevel="0" collapsed="false">
      <c r="A46" s="23"/>
    </row>
    <row r="47" customFormat="false" ht="15" hidden="false" customHeight="true" outlineLevel="0" collapsed="false">
      <c r="A47" s="7" t="s">
        <v>128</v>
      </c>
      <c r="B47" s="27" t="str">
        <f aca="false">IF(B44&gt;=0,"✓ PROFITABLE","✗ Not yet")</f>
        <v>✗ Not yet</v>
      </c>
      <c r="C47" s="27" t="str">
        <f aca="false">IF(C44&gt;=0,"✓ PROFITABLE","✗ Not yet")</f>
        <v>✗ Not yet</v>
      </c>
      <c r="D47" s="27" t="str">
        <f aca="false">IF(D44&gt;=0,"✓ PROFITABLE","✗ Not yet")</f>
        <v>✗ Not yet</v>
      </c>
      <c r="E47" s="27" t="str">
        <f aca="false">IF(E44&gt;=0,"✓ PROFITABLE","✗ Not yet")</f>
        <v>✗ Not yet</v>
      </c>
      <c r="F47" s="27" t="str">
        <f aca="false">IF(F44&gt;=0,"✓ PROFITABLE","✗ Not yet")</f>
        <v>✗ Not yet</v>
      </c>
      <c r="G47" s="27" t="str">
        <f aca="false">IF(G44&gt;=0,"✓ PROFITABLE","✗ Not yet")</f>
        <v>✓ PROFITABLE</v>
      </c>
      <c r="H47" s="27" t="str">
        <f aca="false">IF(H44&gt;=0,"✓ PROFITABLE","✗ Not yet")</f>
        <v>✗ Not yet</v>
      </c>
      <c r="I47" s="27" t="str">
        <f aca="false">IF(I44&gt;=0,"✓ PROFITABLE","✗ Not yet")</f>
        <v>✓ PROFITABLE</v>
      </c>
      <c r="J47" s="27" t="str">
        <f aca="false">IF(J44&gt;=0,"✓ PROFITABLE","✗ Not yet")</f>
        <v>✓ PROFITABLE</v>
      </c>
      <c r="K47" s="27" t="str">
        <f aca="false">IF(K44&gt;=0,"✓ PROFITABLE","✗ Not yet")</f>
        <v>✓ PROFITABLE</v>
      </c>
      <c r="L47" s="27" t="str">
        <f aca="false">IF(L44&gt;=0,"✓ PROFITABLE","✗ Not yet")</f>
        <v>✓ PROFITABLE</v>
      </c>
      <c r="M47" s="27" t="str">
        <f aca="false">IF(M44&gt;=0,"✓ PROFITABLE","✗ Not yet")</f>
        <v>✓ PROFITABLE</v>
      </c>
    </row>
    <row r="48" customFormat="false" ht="15" hidden="false" customHeight="true" outlineLevel="0" collapsed="false"/>
    <row r="49" customFormat="false" ht="15" hidden="false" customHeight="true" outlineLevel="0" collapsed="false">
      <c r="A49" s="4" t="s">
        <v>129</v>
      </c>
      <c r="B49" s="5"/>
      <c r="C49" s="5"/>
      <c r="D49" s="5"/>
    </row>
    <row r="50" customFormat="false" ht="15" hidden="false" customHeight="true" outlineLevel="0" collapsed="false">
      <c r="A50" s="11" t="s">
        <v>130</v>
      </c>
      <c r="B50" s="22" t="n">
        <f aca="false">M31</f>
        <v>234</v>
      </c>
    </row>
    <row r="51" customFormat="false" ht="15" hidden="false" customHeight="true" outlineLevel="0" collapsed="false">
      <c r="A51" s="11" t="s">
        <v>131</v>
      </c>
      <c r="B51" s="17" t="n">
        <f aca="false">M33</f>
        <v>7076.16</v>
      </c>
    </row>
    <row r="52" customFormat="false" ht="15" hidden="false" customHeight="true" outlineLevel="0" collapsed="false">
      <c r="A52" s="11" t="s">
        <v>132</v>
      </c>
      <c r="B52" s="17" t="n">
        <f aca="false">M33*12</f>
        <v>84913.92</v>
      </c>
    </row>
    <row r="53" customFormat="false" ht="15" hidden="false" customHeight="true" outlineLevel="0" collapsed="false">
      <c r="A53" s="11" t="s">
        <v>133</v>
      </c>
      <c r="B53" s="17" t="n">
        <f aca="false">SUM(B33:M33)</f>
        <v>32840.64</v>
      </c>
    </row>
    <row r="54" customFormat="false" ht="15" hidden="false" customHeight="true" outlineLevel="0" collapsed="false">
      <c r="A54" s="11" t="s">
        <v>134</v>
      </c>
      <c r="B54" s="17" t="n">
        <f aca="false">SUM(B42:M42)+SUM(B34:M34)</f>
        <v>28271.853792</v>
      </c>
    </row>
    <row r="55" customFormat="false" ht="15" hidden="false" customHeight="true" outlineLevel="0" collapsed="false">
      <c r="A55" s="11" t="s">
        <v>135</v>
      </c>
      <c r="B55" s="28" t="n">
        <f aca="false">SUM(B44:M44)</f>
        <v>4568.786208</v>
      </c>
    </row>
    <row r="56" customFormat="false" ht="15" hidden="false" customHeight="true" outlineLevel="0" collapsed="false">
      <c r="A56" s="11" t="s">
        <v>136</v>
      </c>
      <c r="B56" s="17" t="n">
        <f aca="false">SUM(B41:M41)</f>
        <v>16500</v>
      </c>
    </row>
    <row r="57" customFormat="false" ht="15" hidden="false" customHeight="true" outlineLevel="0" collapsed="false">
      <c r="A57" s="11" t="s">
        <v>137</v>
      </c>
      <c r="B57" s="12" t="n">
        <f aca="false">IF(M31&gt;0,SUM(B41:M41)/M31,0)</f>
        <v>70.5128205128205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B3D"/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4"/>
  </cols>
  <sheetData>
    <row r="1" customFormat="false" ht="17.25" hidden="false" customHeight="true" outlineLevel="0" collapsed="false">
      <c r="A1" s="2" t="s">
        <v>138</v>
      </c>
    </row>
    <row r="2" customFormat="false" ht="15" hidden="false" customHeight="true" outlineLevel="0" collapsed="false">
      <c r="A2" s="3" t="s">
        <v>139</v>
      </c>
    </row>
    <row r="4" customFormat="false" ht="15" hidden="false" customHeight="true" outlineLevel="0" collapsed="false">
      <c r="A4" s="4" t="s">
        <v>140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6" customFormat="false" ht="15" hidden="false" customHeight="true" outlineLevel="0" collapsed="false">
      <c r="A6" s="7" t="s">
        <v>141</v>
      </c>
      <c r="B6" s="14" t="n">
        <v>200</v>
      </c>
      <c r="C6" s="19" t="s">
        <v>142</v>
      </c>
    </row>
    <row r="7" customFormat="false" ht="15" hidden="false" customHeight="true" outlineLevel="0" collapsed="false">
      <c r="A7" s="7" t="s">
        <v>143</v>
      </c>
      <c r="B7" s="9" t="n">
        <v>0.15</v>
      </c>
      <c r="C7" s="19" t="s">
        <v>144</v>
      </c>
    </row>
    <row r="8" customFormat="false" ht="15" hidden="false" customHeight="true" outlineLevel="0" collapsed="false">
      <c r="A8" s="7" t="s">
        <v>74</v>
      </c>
      <c r="B8" s="9" t="n">
        <v>0.05</v>
      </c>
      <c r="C8" s="19" t="s">
        <v>145</v>
      </c>
    </row>
    <row r="9" customFormat="false" ht="15" hidden="false" customHeight="true" outlineLevel="0" collapsed="false">
      <c r="A9" s="7" t="s">
        <v>76</v>
      </c>
      <c r="B9" s="9" t="n">
        <v>0.08</v>
      </c>
      <c r="C9" s="19" t="s">
        <v>146</v>
      </c>
    </row>
    <row r="10" customFormat="false" ht="15" hidden="false" customHeight="true" outlineLevel="0" collapsed="false">
      <c r="A10" s="7" t="s">
        <v>78</v>
      </c>
      <c r="B10" s="9" t="n">
        <v>0.5</v>
      </c>
      <c r="C10" s="19" t="s">
        <v>147</v>
      </c>
    </row>
    <row r="11" customFormat="false" ht="15" hidden="false" customHeight="true" outlineLevel="0" collapsed="false">
      <c r="A11" s="7" t="s">
        <v>79</v>
      </c>
      <c r="B11" s="9" t="n">
        <v>0.35</v>
      </c>
      <c r="C11" s="19" t="s">
        <v>147</v>
      </c>
    </row>
    <row r="12" customFormat="false" ht="15" hidden="false" customHeight="true" outlineLevel="0" collapsed="false">
      <c r="A12" s="7" t="s">
        <v>80</v>
      </c>
      <c r="B12" s="9" t="n">
        <v>0.15</v>
      </c>
      <c r="C12" s="19" t="s">
        <v>147</v>
      </c>
    </row>
    <row r="13" customFormat="false" ht="15" hidden="false" customHeight="true" outlineLevel="0" collapsed="false">
      <c r="A13" s="7" t="s">
        <v>81</v>
      </c>
      <c r="B13" s="9" t="n">
        <v>0.7</v>
      </c>
      <c r="C13" s="19" t="s">
        <v>148</v>
      </c>
    </row>
    <row r="14" customFormat="false" ht="15" hidden="false" customHeight="true" outlineLevel="0" collapsed="false">
      <c r="A14" s="7" t="s">
        <v>149</v>
      </c>
      <c r="B14" s="16" t="n">
        <v>3000</v>
      </c>
      <c r="C14" s="19" t="s">
        <v>150</v>
      </c>
    </row>
    <row r="15" customFormat="false" ht="15" hidden="false" customHeight="true" outlineLevel="0" collapsed="false">
      <c r="A15" s="7" t="s">
        <v>151</v>
      </c>
      <c r="B15" s="16" t="n">
        <v>281</v>
      </c>
      <c r="C15" s="19" t="s">
        <v>152</v>
      </c>
    </row>
    <row r="17" customFormat="false" ht="15" hidden="false" customHeight="true" outlineLevel="0" collapsed="false">
      <c r="A17" s="4" t="s">
        <v>153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true" outlineLevel="0" collapsed="false">
      <c r="A18" s="6"/>
      <c r="B18" s="6" t="s">
        <v>23</v>
      </c>
      <c r="C18" s="6" t="s">
        <v>25</v>
      </c>
      <c r="D18" s="6" t="s">
        <v>26</v>
      </c>
    </row>
    <row r="19" customFormat="false" ht="15" hidden="false" customHeight="true" outlineLevel="0" collapsed="false">
      <c r="A19" s="11" t="s">
        <v>154</v>
      </c>
      <c r="B19" s="8" t="n">
        <v>14.99</v>
      </c>
      <c r="C19" s="8" t="n">
        <v>34.99</v>
      </c>
      <c r="D19" s="8" t="n">
        <v>69.99</v>
      </c>
    </row>
    <row r="20" customFormat="false" ht="15" hidden="false" customHeight="true" outlineLevel="0" collapsed="false">
      <c r="A20" s="11" t="s">
        <v>155</v>
      </c>
      <c r="B20" s="14" t="n">
        <v>60</v>
      </c>
      <c r="C20" s="14" t="n">
        <v>200</v>
      </c>
      <c r="D20" s="14" t="n">
        <v>500</v>
      </c>
    </row>
    <row r="21" customFormat="false" ht="15" hidden="false" customHeight="true" outlineLevel="0" collapsed="false">
      <c r="A21" s="11" t="s">
        <v>156</v>
      </c>
      <c r="B21" s="8" t="n">
        <v>0.047</v>
      </c>
    </row>
    <row r="23" customFormat="false" ht="15" hidden="false" customHeight="true" outlineLevel="0" collapsed="false">
      <c r="A23" s="4" t="s">
        <v>157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5" hidden="false" customHeight="true" outlineLevel="0" collapsed="false">
      <c r="A24" s="6" t="s">
        <v>101</v>
      </c>
      <c r="B24" s="6" t="s">
        <v>158</v>
      </c>
      <c r="C24" s="6" t="s">
        <v>159</v>
      </c>
      <c r="D24" s="6" t="s">
        <v>160</v>
      </c>
      <c r="E24" s="6" t="s">
        <v>161</v>
      </c>
      <c r="F24" s="6" t="s">
        <v>162</v>
      </c>
      <c r="G24" s="6" t="s">
        <v>163</v>
      </c>
      <c r="H24" s="6" t="s">
        <v>164</v>
      </c>
      <c r="I24" s="6" t="s">
        <v>165</v>
      </c>
      <c r="J24" s="6" t="s">
        <v>166</v>
      </c>
      <c r="K24" s="6" t="s">
        <v>167</v>
      </c>
      <c r="L24" s="6" t="s">
        <v>168</v>
      </c>
      <c r="M24" s="6" t="s">
        <v>169</v>
      </c>
    </row>
    <row r="25" customFormat="false" ht="15" hidden="false" customHeight="true" outlineLevel="0" collapsed="false">
      <c r="A25" s="7" t="s">
        <v>170</v>
      </c>
      <c r="B25" s="21" t="n">
        <f aca="false">$B$6</f>
        <v>200</v>
      </c>
      <c r="C25" s="21" t="n">
        <f aca="false">ROUND(B25*(1+$B$7),0)</f>
        <v>230</v>
      </c>
      <c r="D25" s="21" t="n">
        <f aca="false">ROUND(C25*(1+$B$7),0)</f>
        <v>265</v>
      </c>
      <c r="E25" s="21" t="n">
        <f aca="false">ROUND(D25*(1+$B$7),0)</f>
        <v>305</v>
      </c>
      <c r="F25" s="21" t="n">
        <f aca="false">ROUND(E25*(1+$B$7),0)</f>
        <v>351</v>
      </c>
      <c r="G25" s="21" t="n">
        <f aca="false">ROUND(F25*(1+$B$7),0)</f>
        <v>404</v>
      </c>
      <c r="H25" s="21" t="n">
        <f aca="false">ROUND(G25*(1+$B$7),0)</f>
        <v>465</v>
      </c>
      <c r="I25" s="21" t="n">
        <f aca="false">ROUND(H25*(1+$B$7),0)</f>
        <v>535</v>
      </c>
      <c r="J25" s="21" t="n">
        <f aca="false">ROUND(I25*(1+$B$7),0)</f>
        <v>615</v>
      </c>
      <c r="K25" s="21" t="n">
        <f aca="false">ROUND(J25*(1+$B$7),0)</f>
        <v>707</v>
      </c>
      <c r="L25" s="21" t="n">
        <f aca="false">ROUND(K25*(1+$B$7),0)</f>
        <v>813</v>
      </c>
      <c r="M25" s="21" t="n">
        <f aca="false">ROUND(L25*(1+$B$7),0)</f>
        <v>935</v>
      </c>
    </row>
    <row r="26" customFormat="false" ht="15" hidden="false" customHeight="true" outlineLevel="0" collapsed="false">
      <c r="A26" s="7" t="s">
        <v>116</v>
      </c>
      <c r="B26" s="21" t="n">
        <f aca="false">ROUND(B25*$B$8,0)</f>
        <v>10</v>
      </c>
      <c r="C26" s="21" t="n">
        <f aca="false">ROUND(C25*$B$8,0)</f>
        <v>12</v>
      </c>
      <c r="D26" s="21" t="n">
        <f aca="false">ROUND(D25*$B$8,0)</f>
        <v>13</v>
      </c>
      <c r="E26" s="21" t="n">
        <f aca="false">ROUND(E25*$B$8,0)</f>
        <v>15</v>
      </c>
      <c r="F26" s="21" t="n">
        <f aca="false">ROUND(F25*$B$8,0)</f>
        <v>18</v>
      </c>
      <c r="G26" s="21" t="n">
        <f aca="false">ROUND(G25*$B$8,0)</f>
        <v>20</v>
      </c>
      <c r="H26" s="21" t="n">
        <f aca="false">ROUND(H25*$B$8,0)</f>
        <v>23</v>
      </c>
      <c r="I26" s="21" t="n">
        <f aca="false">ROUND(I25*$B$8,0)</f>
        <v>27</v>
      </c>
      <c r="J26" s="21" t="n">
        <f aca="false">ROUND(J25*$B$8,0)</f>
        <v>31</v>
      </c>
      <c r="K26" s="21" t="n">
        <f aca="false">ROUND(K25*$B$8,0)</f>
        <v>35</v>
      </c>
      <c r="L26" s="21" t="n">
        <f aca="false">ROUND(L25*$B$8,0)</f>
        <v>41</v>
      </c>
      <c r="M26" s="21" t="n">
        <f aca="false">ROUND(M25*$B$8,0)</f>
        <v>47</v>
      </c>
    </row>
    <row r="27" customFormat="false" ht="15" hidden="false" customHeight="true" outlineLevel="0" collapsed="false">
      <c r="A27" s="7" t="s">
        <v>117</v>
      </c>
      <c r="B27" s="21" t="n">
        <v>0</v>
      </c>
      <c r="C27" s="21" t="n">
        <f aca="false">ROUND(B28*$B$9,0)</f>
        <v>1</v>
      </c>
      <c r="D27" s="21" t="n">
        <f aca="false">ROUND(C28*$B$9,0)</f>
        <v>2</v>
      </c>
      <c r="E27" s="21" t="n">
        <f aca="false">ROUND(D28*$B$9,0)</f>
        <v>3</v>
      </c>
      <c r="F27" s="21" t="n">
        <f aca="false">ROUND(E28*$B$9,0)</f>
        <v>4</v>
      </c>
      <c r="G27" s="21" t="n">
        <f aca="false">ROUND(F28*$B$9,0)</f>
        <v>5</v>
      </c>
      <c r="H27" s="21" t="n">
        <f aca="false">ROUND(G28*$B$9,0)</f>
        <v>6</v>
      </c>
      <c r="I27" s="21" t="n">
        <f aca="false">ROUND(H28*$B$9,0)</f>
        <v>7</v>
      </c>
      <c r="J27" s="21" t="n">
        <f aca="false">ROUND(I28*$B$9,0)</f>
        <v>9</v>
      </c>
      <c r="K27" s="21" t="n">
        <f aca="false">ROUND(J28*$B$9,0)</f>
        <v>11</v>
      </c>
      <c r="L27" s="21" t="n">
        <f aca="false">ROUND(K28*$B$9,0)</f>
        <v>12</v>
      </c>
      <c r="M27" s="21" t="n">
        <f aca="false">ROUND(L28*$B$9,0)</f>
        <v>15</v>
      </c>
    </row>
    <row r="28" customFormat="false" ht="15" hidden="false" customHeight="true" outlineLevel="0" collapsed="false">
      <c r="A28" s="7" t="s">
        <v>118</v>
      </c>
      <c r="B28" s="22" t="n">
        <f aca="false">B26</f>
        <v>10</v>
      </c>
      <c r="C28" s="22" t="n">
        <f aca="false">B28+C26-C27</f>
        <v>21</v>
      </c>
      <c r="D28" s="22" t="n">
        <f aca="false">C28+D26-D27</f>
        <v>32</v>
      </c>
      <c r="E28" s="22" t="n">
        <f aca="false">D28+E26-E27</f>
        <v>44</v>
      </c>
      <c r="F28" s="22" t="n">
        <f aca="false">E28+F26-F27</f>
        <v>58</v>
      </c>
      <c r="G28" s="22" t="n">
        <f aca="false">F28+G26-G27</f>
        <v>73</v>
      </c>
      <c r="H28" s="22" t="n">
        <f aca="false">G28+H26-H27</f>
        <v>90</v>
      </c>
      <c r="I28" s="22" t="n">
        <f aca="false">H28+I26-I27</f>
        <v>110</v>
      </c>
      <c r="J28" s="22" t="n">
        <f aca="false">I28+J26-J27</f>
        <v>132</v>
      </c>
      <c r="K28" s="22" t="n">
        <f aca="false">J28+K26-K27</f>
        <v>156</v>
      </c>
      <c r="L28" s="22" t="n">
        <f aca="false">K28+L26-L27</f>
        <v>185</v>
      </c>
      <c r="M28" s="22" t="n">
        <f aca="false">L28+M26-M27</f>
        <v>217</v>
      </c>
    </row>
    <row r="29" customFormat="false" ht="15" hidden="false" customHeight="true" outlineLevel="0" collapsed="false">
      <c r="A29" s="23"/>
    </row>
    <row r="30" customFormat="false" ht="15" hidden="false" customHeight="true" outlineLevel="0" collapsed="false">
      <c r="A30" s="7" t="s">
        <v>171</v>
      </c>
      <c r="B30" s="21" t="n">
        <f aca="false">ROUND(B28*$B$10,0)</f>
        <v>5</v>
      </c>
      <c r="C30" s="21" t="n">
        <f aca="false">ROUND(C28*$B$10,0)</f>
        <v>11</v>
      </c>
      <c r="D30" s="21" t="n">
        <f aca="false">ROUND(D28*$B$10,0)</f>
        <v>16</v>
      </c>
      <c r="E30" s="21" t="n">
        <f aca="false">ROUND(E28*$B$10,0)</f>
        <v>22</v>
      </c>
      <c r="F30" s="21" t="n">
        <f aca="false">ROUND(F28*$B$10,0)</f>
        <v>29</v>
      </c>
      <c r="G30" s="21" t="n">
        <f aca="false">ROUND(G28*$B$10,0)</f>
        <v>37</v>
      </c>
      <c r="H30" s="21" t="n">
        <f aca="false">ROUND(H28*$B$10,0)</f>
        <v>45</v>
      </c>
      <c r="I30" s="21" t="n">
        <f aca="false">ROUND(I28*$B$10,0)</f>
        <v>55</v>
      </c>
      <c r="J30" s="21" t="n">
        <f aca="false">ROUND(J28*$B$10,0)</f>
        <v>66</v>
      </c>
      <c r="K30" s="21" t="n">
        <f aca="false">ROUND(K28*$B$10,0)</f>
        <v>78</v>
      </c>
      <c r="L30" s="21" t="n">
        <f aca="false">ROUND(L28*$B$10,0)</f>
        <v>93</v>
      </c>
      <c r="M30" s="21" t="n">
        <f aca="false">ROUND(M28*$B$10,0)</f>
        <v>109</v>
      </c>
    </row>
    <row r="31" customFormat="false" ht="15" hidden="false" customHeight="true" outlineLevel="0" collapsed="false">
      <c r="A31" s="7" t="s">
        <v>172</v>
      </c>
      <c r="B31" s="21" t="n">
        <f aca="false">ROUND(B28*$B$11,0)</f>
        <v>4</v>
      </c>
      <c r="C31" s="21" t="n">
        <f aca="false">ROUND(C28*$B$11,0)</f>
        <v>7</v>
      </c>
      <c r="D31" s="21" t="n">
        <f aca="false">ROUND(D28*$B$11,0)</f>
        <v>11</v>
      </c>
      <c r="E31" s="21" t="n">
        <f aca="false">ROUND(E28*$B$11,0)</f>
        <v>15</v>
      </c>
      <c r="F31" s="21" t="n">
        <f aca="false">ROUND(F28*$B$11,0)</f>
        <v>20</v>
      </c>
      <c r="G31" s="21" t="n">
        <f aca="false">ROUND(G28*$B$11,0)</f>
        <v>26</v>
      </c>
      <c r="H31" s="21" t="n">
        <f aca="false">ROUND(H28*$B$11,0)</f>
        <v>31</v>
      </c>
      <c r="I31" s="21" t="n">
        <f aca="false">ROUND(I28*$B$11,0)</f>
        <v>39</v>
      </c>
      <c r="J31" s="21" t="n">
        <f aca="false">ROUND(J28*$B$11,0)</f>
        <v>46</v>
      </c>
      <c r="K31" s="21" t="n">
        <f aca="false">ROUND(K28*$B$11,0)</f>
        <v>55</v>
      </c>
      <c r="L31" s="21" t="n">
        <f aca="false">ROUND(L28*$B$11,0)</f>
        <v>65</v>
      </c>
      <c r="M31" s="21" t="n">
        <f aca="false">ROUND(M28*$B$11,0)</f>
        <v>76</v>
      </c>
    </row>
    <row r="32" customFormat="false" ht="15" hidden="false" customHeight="true" outlineLevel="0" collapsed="false">
      <c r="A32" s="7" t="s">
        <v>173</v>
      </c>
      <c r="B32" s="21" t="n">
        <f aca="false">ROUND(B28*$B$12,0)</f>
        <v>2</v>
      </c>
      <c r="C32" s="21" t="n">
        <f aca="false">ROUND(C28*$B$12,0)</f>
        <v>3</v>
      </c>
      <c r="D32" s="21" t="n">
        <f aca="false">ROUND(D28*$B$12,0)</f>
        <v>5</v>
      </c>
      <c r="E32" s="21" t="n">
        <f aca="false">ROUND(E28*$B$12,0)</f>
        <v>7</v>
      </c>
      <c r="F32" s="21" t="n">
        <f aca="false">ROUND(F28*$B$12,0)</f>
        <v>9</v>
      </c>
      <c r="G32" s="21" t="n">
        <f aca="false">ROUND(G28*$B$12,0)</f>
        <v>11</v>
      </c>
      <c r="H32" s="21" t="n">
        <f aca="false">ROUND(H28*$B$12,0)</f>
        <v>14</v>
      </c>
      <c r="I32" s="21" t="n">
        <f aca="false">ROUND(I28*$B$12,0)</f>
        <v>17</v>
      </c>
      <c r="J32" s="21" t="n">
        <f aca="false">ROUND(J28*$B$12,0)</f>
        <v>20</v>
      </c>
      <c r="K32" s="21" t="n">
        <f aca="false">ROUND(K28*$B$12,0)</f>
        <v>23</v>
      </c>
      <c r="L32" s="21" t="n">
        <f aca="false">ROUND(L28*$B$12,0)</f>
        <v>28</v>
      </c>
      <c r="M32" s="21" t="n">
        <f aca="false">ROUND(M28*$B$12,0)</f>
        <v>33</v>
      </c>
    </row>
    <row r="33" customFormat="false" ht="15" hidden="false" customHeight="true" outlineLevel="0" collapsed="false">
      <c r="A33" s="23"/>
    </row>
    <row r="34" customFormat="false" ht="15" hidden="false" customHeight="true" outlineLevel="0" collapsed="false">
      <c r="A34" s="7" t="s">
        <v>174</v>
      </c>
      <c r="B34" s="29" t="n">
        <f aca="false">B30*$B$19</f>
        <v>74.95</v>
      </c>
      <c r="C34" s="29" t="n">
        <f aca="false">C30*$B$19</f>
        <v>164.89</v>
      </c>
      <c r="D34" s="29" t="n">
        <f aca="false">D30*$B$19</f>
        <v>239.84</v>
      </c>
      <c r="E34" s="29" t="n">
        <f aca="false">E30*$B$19</f>
        <v>329.78</v>
      </c>
      <c r="F34" s="29" t="n">
        <f aca="false">F30*$B$19</f>
        <v>434.71</v>
      </c>
      <c r="G34" s="29" t="n">
        <f aca="false">G30*$B$19</f>
        <v>554.63</v>
      </c>
      <c r="H34" s="29" t="n">
        <f aca="false">H30*$B$19</f>
        <v>674.55</v>
      </c>
      <c r="I34" s="29" t="n">
        <f aca="false">I30*$B$19</f>
        <v>824.45</v>
      </c>
      <c r="J34" s="29" t="n">
        <f aca="false">J30*$B$19</f>
        <v>989.34</v>
      </c>
      <c r="K34" s="29" t="n">
        <f aca="false">K30*$B$19</f>
        <v>1169.22</v>
      </c>
      <c r="L34" s="29" t="n">
        <f aca="false">L30*$B$19</f>
        <v>1394.07</v>
      </c>
      <c r="M34" s="29" t="n">
        <f aca="false">M30*$B$19</f>
        <v>1633.91</v>
      </c>
    </row>
    <row r="35" customFormat="false" ht="15" hidden="false" customHeight="true" outlineLevel="0" collapsed="false">
      <c r="A35" s="7" t="s">
        <v>175</v>
      </c>
      <c r="B35" s="29" t="n">
        <f aca="false">B31*$C$19</f>
        <v>139.96</v>
      </c>
      <c r="C35" s="29" t="n">
        <f aca="false">C31*$C$19</f>
        <v>244.93</v>
      </c>
      <c r="D35" s="29" t="n">
        <f aca="false">D31*$C$19</f>
        <v>384.89</v>
      </c>
      <c r="E35" s="29" t="n">
        <f aca="false">E31*$C$19</f>
        <v>524.85</v>
      </c>
      <c r="F35" s="29" t="n">
        <f aca="false">F31*$C$19</f>
        <v>699.8</v>
      </c>
      <c r="G35" s="29" t="n">
        <f aca="false">G31*$C$19</f>
        <v>909.74</v>
      </c>
      <c r="H35" s="29" t="n">
        <f aca="false">H31*$C$19</f>
        <v>1084.69</v>
      </c>
      <c r="I35" s="29" t="n">
        <f aca="false">I31*$C$19</f>
        <v>1364.61</v>
      </c>
      <c r="J35" s="29" t="n">
        <f aca="false">J31*$C$19</f>
        <v>1609.54</v>
      </c>
      <c r="K35" s="29" t="n">
        <f aca="false">K31*$C$19</f>
        <v>1924.45</v>
      </c>
      <c r="L35" s="29" t="n">
        <f aca="false">L31*$C$19</f>
        <v>2274.35</v>
      </c>
      <c r="M35" s="29" t="n">
        <f aca="false">M31*$C$19</f>
        <v>2659.24</v>
      </c>
    </row>
    <row r="36" customFormat="false" ht="15" hidden="false" customHeight="true" outlineLevel="0" collapsed="false">
      <c r="A36" s="7" t="s">
        <v>176</v>
      </c>
      <c r="B36" s="29" t="n">
        <f aca="false">B32*$D$19</f>
        <v>139.98</v>
      </c>
      <c r="C36" s="29" t="n">
        <f aca="false">C32*$D$19</f>
        <v>209.97</v>
      </c>
      <c r="D36" s="29" t="n">
        <f aca="false">D32*$D$19</f>
        <v>349.95</v>
      </c>
      <c r="E36" s="29" t="n">
        <f aca="false">E32*$D$19</f>
        <v>489.93</v>
      </c>
      <c r="F36" s="29" t="n">
        <f aca="false">F32*$D$19</f>
        <v>629.91</v>
      </c>
      <c r="G36" s="29" t="n">
        <f aca="false">G32*$D$19</f>
        <v>769.89</v>
      </c>
      <c r="H36" s="29" t="n">
        <f aca="false">H32*$D$19</f>
        <v>979.86</v>
      </c>
      <c r="I36" s="29" t="n">
        <f aca="false">I32*$D$19</f>
        <v>1189.83</v>
      </c>
      <c r="J36" s="29" t="n">
        <f aca="false">J32*$D$19</f>
        <v>1399.8</v>
      </c>
      <c r="K36" s="29" t="n">
        <f aca="false">K32*$D$19</f>
        <v>1609.77</v>
      </c>
      <c r="L36" s="29" t="n">
        <f aca="false">L32*$D$19</f>
        <v>1959.72</v>
      </c>
      <c r="M36" s="29" t="n">
        <f aca="false">M32*$D$19</f>
        <v>2309.67</v>
      </c>
    </row>
    <row r="37" customFormat="false" ht="15" hidden="false" customHeight="true" outlineLevel="0" collapsed="false">
      <c r="A37" s="11" t="s">
        <v>177</v>
      </c>
      <c r="B37" s="17" t="n">
        <f aca="false">B34+B35+B36</f>
        <v>354.89</v>
      </c>
      <c r="C37" s="17" t="n">
        <f aca="false">C34+C35+C36</f>
        <v>619.79</v>
      </c>
      <c r="D37" s="17" t="n">
        <f aca="false">D34+D35+D36</f>
        <v>974.68</v>
      </c>
      <c r="E37" s="17" t="n">
        <f aca="false">E34+E35+E36</f>
        <v>1344.56</v>
      </c>
      <c r="F37" s="17" t="n">
        <f aca="false">F34+F35+F36</f>
        <v>1764.42</v>
      </c>
      <c r="G37" s="17" t="n">
        <f aca="false">G34+G35+G36</f>
        <v>2234.26</v>
      </c>
      <c r="H37" s="17" t="n">
        <f aca="false">H34+H35+H36</f>
        <v>2739.1</v>
      </c>
      <c r="I37" s="17" t="n">
        <f aca="false">I34+I35+I36</f>
        <v>3378.89</v>
      </c>
      <c r="J37" s="17" t="n">
        <f aca="false">J34+J35+J36</f>
        <v>3998.68</v>
      </c>
      <c r="K37" s="17" t="n">
        <f aca="false">K34+K35+K36</f>
        <v>4703.44</v>
      </c>
      <c r="L37" s="17" t="n">
        <f aca="false">L34+L35+L36</f>
        <v>5628.14</v>
      </c>
      <c r="M37" s="17" t="n">
        <f aca="false">M34+M35+M36</f>
        <v>6602.82</v>
      </c>
    </row>
    <row r="38" customFormat="false" ht="15" hidden="false" customHeight="true" outlineLevel="0" collapsed="false">
      <c r="A38" s="23"/>
    </row>
    <row r="39" customFormat="false" ht="15" hidden="false" customHeight="true" outlineLevel="0" collapsed="false">
      <c r="A39" s="7" t="s">
        <v>178</v>
      </c>
      <c r="B39" s="29" t="n">
        <f aca="false">B30*$B$20*$B$13*$B$21</f>
        <v>9.87</v>
      </c>
      <c r="C39" s="29" t="n">
        <f aca="false">C30*$B$20*$B$13*$B$21</f>
        <v>21.714</v>
      </c>
      <c r="D39" s="29" t="n">
        <f aca="false">D30*$B$20*$B$13*$B$21</f>
        <v>31.584</v>
      </c>
      <c r="E39" s="29" t="n">
        <f aca="false">E30*$B$20*$B$13*$B$21</f>
        <v>43.428</v>
      </c>
      <c r="F39" s="29" t="n">
        <f aca="false">F30*$B$20*$B$13*$B$21</f>
        <v>57.246</v>
      </c>
      <c r="G39" s="29" t="n">
        <f aca="false">G30*$B$20*$B$13*$B$21</f>
        <v>73.038</v>
      </c>
      <c r="H39" s="29" t="n">
        <f aca="false">H30*$B$20*$B$13*$B$21</f>
        <v>88.83</v>
      </c>
      <c r="I39" s="29" t="n">
        <f aca="false">I30*$B$20*$B$13*$B$21</f>
        <v>108.57</v>
      </c>
      <c r="J39" s="29" t="n">
        <f aca="false">J30*$B$20*$B$13*$B$21</f>
        <v>130.284</v>
      </c>
      <c r="K39" s="29" t="n">
        <f aca="false">K30*$B$20*$B$13*$B$21</f>
        <v>153.972</v>
      </c>
      <c r="L39" s="29" t="n">
        <f aca="false">L30*$B$20*$B$13*$B$21</f>
        <v>183.582</v>
      </c>
      <c r="M39" s="29" t="n">
        <f aca="false">M30*$B$20*$B$13*$B$21</f>
        <v>215.166</v>
      </c>
    </row>
    <row r="40" customFormat="false" ht="15" hidden="false" customHeight="true" outlineLevel="0" collapsed="false">
      <c r="A40" s="7" t="s">
        <v>179</v>
      </c>
      <c r="B40" s="29" t="n">
        <f aca="false">B31*$C$20*$B$13*$B$21</f>
        <v>26.32</v>
      </c>
      <c r="C40" s="29" t="n">
        <f aca="false">C31*$C$20*$B$13*$B$21</f>
        <v>46.06</v>
      </c>
      <c r="D40" s="29" t="n">
        <f aca="false">D31*$C$20*$B$13*$B$21</f>
        <v>72.38</v>
      </c>
      <c r="E40" s="29" t="n">
        <f aca="false">E31*$C$20*$B$13*$B$21</f>
        <v>98.7</v>
      </c>
      <c r="F40" s="29" t="n">
        <f aca="false">F31*$C$20*$B$13*$B$21</f>
        <v>131.6</v>
      </c>
      <c r="G40" s="29" t="n">
        <f aca="false">G31*$C$20*$B$13*$B$21</f>
        <v>171.08</v>
      </c>
      <c r="H40" s="29" t="n">
        <f aca="false">H31*$C$20*$B$13*$B$21</f>
        <v>203.98</v>
      </c>
      <c r="I40" s="29" t="n">
        <f aca="false">I31*$C$20*$B$13*$B$21</f>
        <v>256.62</v>
      </c>
      <c r="J40" s="29" t="n">
        <f aca="false">J31*$C$20*$B$13*$B$21</f>
        <v>302.68</v>
      </c>
      <c r="K40" s="29" t="n">
        <f aca="false">K31*$C$20*$B$13*$B$21</f>
        <v>361.9</v>
      </c>
      <c r="L40" s="29" t="n">
        <f aca="false">L31*$C$20*$B$13*$B$21</f>
        <v>427.7</v>
      </c>
      <c r="M40" s="29" t="n">
        <f aca="false">M31*$C$20*$B$13*$B$21</f>
        <v>500.08</v>
      </c>
    </row>
    <row r="41" customFormat="false" ht="15" hidden="false" customHeight="true" outlineLevel="0" collapsed="false">
      <c r="A41" s="7" t="s">
        <v>180</v>
      </c>
      <c r="B41" s="29" t="n">
        <f aca="false">B32*$D$20*$B$13*$B$21</f>
        <v>32.9</v>
      </c>
      <c r="C41" s="29" t="n">
        <f aca="false">C32*$D$20*$B$13*$B$21</f>
        <v>49.35</v>
      </c>
      <c r="D41" s="29" t="n">
        <f aca="false">D32*$D$20*$B$13*$B$21</f>
        <v>82.25</v>
      </c>
      <c r="E41" s="29" t="n">
        <f aca="false">E32*$D$20*$B$13*$B$21</f>
        <v>115.15</v>
      </c>
      <c r="F41" s="29" t="n">
        <f aca="false">F32*$D$20*$B$13*$B$21</f>
        <v>148.05</v>
      </c>
      <c r="G41" s="29" t="n">
        <f aca="false">G32*$D$20*$B$13*$B$21</f>
        <v>180.95</v>
      </c>
      <c r="H41" s="29" t="n">
        <f aca="false">H32*$D$20*$B$13*$B$21</f>
        <v>230.3</v>
      </c>
      <c r="I41" s="29" t="n">
        <f aca="false">I32*$D$20*$B$13*$B$21</f>
        <v>279.65</v>
      </c>
      <c r="J41" s="29" t="n">
        <f aca="false">J32*$D$20*$B$13*$B$21</f>
        <v>329</v>
      </c>
      <c r="K41" s="29" t="n">
        <f aca="false">K32*$D$20*$B$13*$B$21</f>
        <v>378.35</v>
      </c>
      <c r="L41" s="29" t="n">
        <f aca="false">L32*$D$20*$B$13*$B$21</f>
        <v>460.6</v>
      </c>
      <c r="M41" s="29" t="n">
        <f aca="false">M32*$D$20*$B$13*$B$21</f>
        <v>542.85</v>
      </c>
    </row>
    <row r="42" customFormat="false" ht="15" hidden="false" customHeight="true" outlineLevel="0" collapsed="false">
      <c r="A42" s="11" t="s">
        <v>181</v>
      </c>
      <c r="B42" s="17" t="n">
        <f aca="false">B39+B40+B41</f>
        <v>69.09</v>
      </c>
      <c r="C42" s="17" t="n">
        <f aca="false">C39+C40+C41</f>
        <v>117.124</v>
      </c>
      <c r="D42" s="17" t="n">
        <f aca="false">D39+D40+D41</f>
        <v>186.214</v>
      </c>
      <c r="E42" s="17" t="n">
        <f aca="false">E39+E40+E41</f>
        <v>257.278</v>
      </c>
      <c r="F42" s="17" t="n">
        <f aca="false">F39+F40+F41</f>
        <v>336.896</v>
      </c>
      <c r="G42" s="17" t="n">
        <f aca="false">G39+G40+G41</f>
        <v>425.068</v>
      </c>
      <c r="H42" s="17" t="n">
        <f aca="false">H39+H40+H41</f>
        <v>523.11</v>
      </c>
      <c r="I42" s="17" t="n">
        <f aca="false">I39+I40+I41</f>
        <v>644.84</v>
      </c>
      <c r="J42" s="17" t="n">
        <f aca="false">J39+J40+J41</f>
        <v>761.964</v>
      </c>
      <c r="K42" s="17" t="n">
        <f aca="false">K39+K40+K41</f>
        <v>894.222</v>
      </c>
      <c r="L42" s="17" t="n">
        <f aca="false">L39+L40+L41</f>
        <v>1071.882</v>
      </c>
      <c r="M42" s="17" t="n">
        <f aca="false">M39+M40+M41</f>
        <v>1258.096</v>
      </c>
    </row>
    <row r="43" customFormat="false" ht="15" hidden="false" customHeight="true" outlineLevel="0" collapsed="false">
      <c r="A43" s="23"/>
    </row>
    <row r="44" customFormat="false" ht="15" hidden="false" customHeight="true" outlineLevel="0" collapsed="false">
      <c r="A44" s="11" t="s">
        <v>182</v>
      </c>
      <c r="B44" s="17" t="n">
        <f aca="false">B37-B42</f>
        <v>285.8</v>
      </c>
      <c r="C44" s="17" t="n">
        <f aca="false">C37-C42</f>
        <v>502.666</v>
      </c>
      <c r="D44" s="17" t="n">
        <f aca="false">D37-D42</f>
        <v>788.466</v>
      </c>
      <c r="E44" s="17" t="n">
        <f aca="false">E37-E42</f>
        <v>1087.282</v>
      </c>
      <c r="F44" s="17" t="n">
        <f aca="false">F37-F42</f>
        <v>1427.524</v>
      </c>
      <c r="G44" s="17" t="n">
        <f aca="false">G37-G42</f>
        <v>1809.192</v>
      </c>
      <c r="H44" s="17" t="n">
        <f aca="false">H37-H42</f>
        <v>2215.99</v>
      </c>
      <c r="I44" s="17" t="n">
        <f aca="false">I37-I42</f>
        <v>2734.05</v>
      </c>
      <c r="J44" s="17" t="n">
        <f aca="false">J37-J42</f>
        <v>3236.716</v>
      </c>
      <c r="K44" s="17" t="n">
        <f aca="false">K37-K42</f>
        <v>3809.218</v>
      </c>
      <c r="L44" s="17" t="n">
        <f aca="false">L37-L42</f>
        <v>4556.258</v>
      </c>
      <c r="M44" s="17" t="n">
        <f aca="false">M37-M42</f>
        <v>5344.724</v>
      </c>
    </row>
    <row r="45" customFormat="false" ht="15" hidden="false" customHeight="true" outlineLevel="0" collapsed="false">
      <c r="A45" s="7" t="s">
        <v>123</v>
      </c>
      <c r="B45" s="18" t="n">
        <f aca="false">IF(B37&gt;0,B44/B37,0)</f>
        <v>0.805319958296937</v>
      </c>
      <c r="C45" s="18" t="n">
        <f aca="false">IF(C37&gt;0,C44/C37,0)</f>
        <v>0.811026315364882</v>
      </c>
      <c r="D45" s="18" t="n">
        <f aca="false">IF(D37&gt;0,D44/D37,0)</f>
        <v>0.808948577994829</v>
      </c>
      <c r="E45" s="18" t="n">
        <f aca="false">IF(E37&gt;0,E44/E37,0)</f>
        <v>0.808652644731362</v>
      </c>
      <c r="F45" s="18" t="n">
        <f aca="false">IF(F37&gt;0,F44/F37,0)</f>
        <v>0.809061334602872</v>
      </c>
      <c r="G45" s="18" t="n">
        <f aca="false">IF(G37&gt;0,G44/G37,0)</f>
        <v>0.809749984334858</v>
      </c>
      <c r="H45" s="18" t="n">
        <f aca="false">IF(H37&gt;0,H44/H37,0)</f>
        <v>0.809021211346793</v>
      </c>
      <c r="I45" s="18" t="n">
        <f aca="false">IF(I37&gt;0,I44/I37,0)</f>
        <v>0.809156261375777</v>
      </c>
      <c r="J45" s="18" t="n">
        <f aca="false">IF(J37&gt;0,J44/J37,0)</f>
        <v>0.809446117218682</v>
      </c>
      <c r="K45" s="18" t="n">
        <f aca="false">IF(K37&gt;0,K44/K37,0)</f>
        <v>0.809879152280033</v>
      </c>
      <c r="L45" s="18" t="n">
        <f aca="false">IF(L37&gt;0,L44/L37,0)</f>
        <v>0.809549513693689</v>
      </c>
      <c r="M45" s="18" t="n">
        <f aca="false">IF(M37&gt;0,M44/M37,0)</f>
        <v>0.809460806140407</v>
      </c>
    </row>
    <row r="46" customFormat="false" ht="15" hidden="false" customHeight="true" outlineLevel="0" collapsed="false">
      <c r="A46" s="23"/>
    </row>
    <row r="47" customFormat="false" ht="15" hidden="false" customHeight="true" outlineLevel="0" collapsed="false">
      <c r="A47" s="7" t="s">
        <v>124</v>
      </c>
      <c r="B47" s="29" t="n">
        <f aca="false">$B$15</f>
        <v>281</v>
      </c>
      <c r="C47" s="29" t="n">
        <f aca="false">$B$15</f>
        <v>281</v>
      </c>
      <c r="D47" s="29" t="n">
        <f aca="false">$B$15</f>
        <v>281</v>
      </c>
      <c r="E47" s="29" t="n">
        <f aca="false">$B$15</f>
        <v>281</v>
      </c>
      <c r="F47" s="29" t="n">
        <f aca="false">$B$15</f>
        <v>281</v>
      </c>
      <c r="G47" s="29" t="n">
        <f aca="false">$B$15</f>
        <v>281</v>
      </c>
      <c r="H47" s="29" t="n">
        <f aca="false">$B$15</f>
        <v>281</v>
      </c>
      <c r="I47" s="29" t="n">
        <f aca="false">$B$15</f>
        <v>281</v>
      </c>
      <c r="J47" s="29" t="n">
        <f aca="false">$B$15</f>
        <v>281</v>
      </c>
      <c r="K47" s="29" t="n">
        <f aca="false">$B$15</f>
        <v>281</v>
      </c>
      <c r="L47" s="29" t="n">
        <f aca="false">$B$15</f>
        <v>281</v>
      </c>
      <c r="M47" s="29" t="n">
        <f aca="false">$B$15</f>
        <v>281</v>
      </c>
    </row>
    <row r="48" customFormat="false" ht="15" hidden="false" customHeight="true" outlineLevel="0" collapsed="false">
      <c r="A48" s="7" t="s">
        <v>47</v>
      </c>
      <c r="B48" s="29" t="n">
        <f aca="false">$B$14</f>
        <v>3000</v>
      </c>
      <c r="C48" s="29" t="n">
        <f aca="false">$B$14</f>
        <v>3000</v>
      </c>
      <c r="D48" s="29" t="n">
        <f aca="false">$B$14</f>
        <v>3000</v>
      </c>
      <c r="E48" s="29" t="n">
        <f aca="false">$B$14</f>
        <v>3000</v>
      </c>
      <c r="F48" s="29" t="n">
        <f aca="false">$B$14</f>
        <v>3000</v>
      </c>
      <c r="G48" s="29" t="n">
        <f aca="false">$B$14</f>
        <v>3000</v>
      </c>
      <c r="H48" s="29" t="n">
        <f aca="false">$B$14</f>
        <v>3000</v>
      </c>
      <c r="I48" s="29" t="n">
        <f aca="false">$B$14</f>
        <v>3000</v>
      </c>
      <c r="J48" s="29" t="n">
        <f aca="false">$B$14</f>
        <v>3000</v>
      </c>
      <c r="K48" s="29" t="n">
        <f aca="false">$B$14</f>
        <v>3000</v>
      </c>
      <c r="L48" s="29" t="n">
        <f aca="false">$B$14</f>
        <v>3000</v>
      </c>
      <c r="M48" s="29" t="n">
        <f aca="false">$B$14</f>
        <v>3000</v>
      </c>
    </row>
    <row r="49" customFormat="false" ht="15" hidden="false" customHeight="true" outlineLevel="0" collapsed="false">
      <c r="A49" s="11" t="s">
        <v>183</v>
      </c>
      <c r="B49" s="17" t="n">
        <f aca="false">B42+B47+B48</f>
        <v>3350.09</v>
      </c>
      <c r="C49" s="17" t="n">
        <f aca="false">C42+C47+C48</f>
        <v>3398.124</v>
      </c>
      <c r="D49" s="17" t="n">
        <f aca="false">D42+D47+D48</f>
        <v>3467.214</v>
      </c>
      <c r="E49" s="17" t="n">
        <f aca="false">E42+E47+E48</f>
        <v>3538.278</v>
      </c>
      <c r="F49" s="17" t="n">
        <f aca="false">F42+F47+F48</f>
        <v>3617.896</v>
      </c>
      <c r="G49" s="17" t="n">
        <f aca="false">G42+G47+G48</f>
        <v>3706.068</v>
      </c>
      <c r="H49" s="17" t="n">
        <f aca="false">H42+H47+H48</f>
        <v>3804.11</v>
      </c>
      <c r="I49" s="17" t="n">
        <f aca="false">I42+I47+I48</f>
        <v>3925.84</v>
      </c>
      <c r="J49" s="17" t="n">
        <f aca="false">J42+J47+J48</f>
        <v>4042.964</v>
      </c>
      <c r="K49" s="17" t="n">
        <f aca="false">K42+K47+K48</f>
        <v>4175.222</v>
      </c>
      <c r="L49" s="17" t="n">
        <f aca="false">L42+L47+L48</f>
        <v>4352.882</v>
      </c>
      <c r="M49" s="17" t="n">
        <f aca="false">M42+M47+M48</f>
        <v>4539.096</v>
      </c>
    </row>
    <row r="50" customFormat="false" ht="15" hidden="false" customHeight="true" outlineLevel="0" collapsed="false">
      <c r="A50" s="23"/>
    </row>
    <row r="51" customFormat="false" ht="15" hidden="false" customHeight="true" outlineLevel="0" collapsed="false">
      <c r="A51" s="11" t="s">
        <v>126</v>
      </c>
      <c r="B51" s="28" t="n">
        <f aca="false">B37-B49</f>
        <v>-2995.2</v>
      </c>
      <c r="C51" s="28" t="n">
        <f aca="false">C37-C49</f>
        <v>-2778.334</v>
      </c>
      <c r="D51" s="28" t="n">
        <f aca="false">D37-D49</f>
        <v>-2492.534</v>
      </c>
      <c r="E51" s="28" t="n">
        <f aca="false">E37-E49</f>
        <v>-2193.718</v>
      </c>
      <c r="F51" s="28" t="n">
        <f aca="false">F37-F49</f>
        <v>-1853.476</v>
      </c>
      <c r="G51" s="28" t="n">
        <f aca="false">G37-G49</f>
        <v>-1471.808</v>
      </c>
      <c r="H51" s="28" t="n">
        <f aca="false">H37-H49</f>
        <v>-1065.01</v>
      </c>
      <c r="I51" s="28" t="n">
        <f aca="false">I37-I49</f>
        <v>-546.95</v>
      </c>
      <c r="J51" s="28" t="n">
        <f aca="false">J37-J49</f>
        <v>-44.2839999999997</v>
      </c>
      <c r="K51" s="28" t="n">
        <f aca="false">K37-K49</f>
        <v>528.218000000001</v>
      </c>
      <c r="L51" s="28" t="n">
        <f aca="false">L37-L49</f>
        <v>1275.258</v>
      </c>
      <c r="M51" s="28" t="n">
        <f aca="false">M37-M49</f>
        <v>2063.724</v>
      </c>
    </row>
    <row r="52" customFormat="false" ht="15" hidden="false" customHeight="true" outlineLevel="0" collapsed="false">
      <c r="A52" s="7" t="s">
        <v>127</v>
      </c>
      <c r="B52" s="28" t="n">
        <f aca="false">B51</f>
        <v>-2995.2</v>
      </c>
      <c r="C52" s="28" t="n">
        <f aca="false">B52+C51</f>
        <v>-5773.534</v>
      </c>
      <c r="D52" s="28" t="n">
        <f aca="false">C52+D51</f>
        <v>-8266.068</v>
      </c>
      <c r="E52" s="28" t="n">
        <f aca="false">D52+E51</f>
        <v>-10459.786</v>
      </c>
      <c r="F52" s="28" t="n">
        <f aca="false">E52+F51</f>
        <v>-12313.262</v>
      </c>
      <c r="G52" s="28" t="n">
        <f aca="false">F52+G51</f>
        <v>-13785.07</v>
      </c>
      <c r="H52" s="28" t="n">
        <f aca="false">G52+H51</f>
        <v>-14850.08</v>
      </c>
      <c r="I52" s="28" t="n">
        <f aca="false">H52+I51</f>
        <v>-15397.03</v>
      </c>
      <c r="J52" s="28" t="n">
        <f aca="false">I52+J51</f>
        <v>-15441.314</v>
      </c>
      <c r="K52" s="28" t="n">
        <f aca="false">J52+K51</f>
        <v>-14913.096</v>
      </c>
      <c r="L52" s="28" t="n">
        <f aca="false">K52+L51</f>
        <v>-13637.838</v>
      </c>
      <c r="M52" s="28" t="n">
        <f aca="false">L52+M51</f>
        <v>-11574.114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6E8C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</cols>
  <sheetData>
    <row r="1" customFormat="false" ht="17.25" hidden="false" customHeight="true" outlineLevel="0" collapsed="false">
      <c r="A1" s="2" t="s">
        <v>184</v>
      </c>
    </row>
    <row r="2" customFormat="false" ht="15" hidden="false" customHeight="true" outlineLevel="0" collapsed="false">
      <c r="A2" s="3" t="s">
        <v>185</v>
      </c>
    </row>
    <row r="4" customFormat="false" ht="15" hidden="false" customHeight="true" outlineLevel="0" collapsed="false">
      <c r="A4" s="6" t="s">
        <v>186</v>
      </c>
      <c r="B4" s="6" t="s">
        <v>187</v>
      </c>
      <c r="C4" s="6" t="s">
        <v>188</v>
      </c>
      <c r="D4" s="6" t="s">
        <v>189</v>
      </c>
    </row>
    <row r="5" customFormat="false" ht="15" hidden="false" customHeight="true" outlineLevel="0" collapsed="false">
      <c r="A5" s="7" t="s">
        <v>190</v>
      </c>
      <c r="B5" s="14" t="n">
        <v>100</v>
      </c>
      <c r="C5" s="14" t="n">
        <v>200</v>
      </c>
      <c r="D5" s="14" t="n">
        <v>500</v>
      </c>
    </row>
    <row r="6" customFormat="false" ht="15" hidden="false" customHeight="true" outlineLevel="0" collapsed="false">
      <c r="A6" s="7" t="s">
        <v>191</v>
      </c>
      <c r="B6" s="9" t="n">
        <v>0.08</v>
      </c>
      <c r="C6" s="9" t="n">
        <v>0.15</v>
      </c>
      <c r="D6" s="9" t="n">
        <v>0.25</v>
      </c>
    </row>
    <row r="7" customFormat="false" ht="15" hidden="false" customHeight="true" outlineLevel="0" collapsed="false">
      <c r="A7" s="7" t="s">
        <v>74</v>
      </c>
      <c r="B7" s="9" t="n">
        <v>0.03</v>
      </c>
      <c r="C7" s="9" t="n">
        <v>0.05</v>
      </c>
      <c r="D7" s="9" t="n">
        <v>0.08</v>
      </c>
    </row>
    <row r="8" customFormat="false" ht="15" hidden="false" customHeight="true" outlineLevel="0" collapsed="false">
      <c r="A8" s="7" t="s">
        <v>192</v>
      </c>
      <c r="B8" s="9" t="n">
        <v>0.12</v>
      </c>
      <c r="C8" s="9" t="n">
        <v>0.08</v>
      </c>
      <c r="D8" s="9" t="n">
        <v>0.05</v>
      </c>
    </row>
    <row r="9" customFormat="false" ht="15" hidden="false" customHeight="true" outlineLevel="0" collapsed="false">
      <c r="A9" s="7" t="s">
        <v>193</v>
      </c>
      <c r="B9" s="16" t="n">
        <v>2000</v>
      </c>
      <c r="C9" s="16" t="n">
        <v>3000</v>
      </c>
      <c r="D9" s="16" t="n">
        <v>5000</v>
      </c>
    </row>
    <row r="10" customFormat="false" ht="15" hidden="false" customHeight="true" outlineLevel="0" collapsed="false">
      <c r="A10" s="7" t="s">
        <v>90</v>
      </c>
      <c r="B10" s="16" t="n">
        <v>20</v>
      </c>
      <c r="C10" s="16" t="n">
        <v>25</v>
      </c>
      <c r="D10" s="16" t="n">
        <v>32</v>
      </c>
    </row>
    <row r="11" customFormat="false" ht="15" hidden="false" customHeight="true" outlineLevel="0" collapsed="false">
      <c r="A11" s="7" t="s">
        <v>194</v>
      </c>
      <c r="B11" s="8" t="n">
        <v>4</v>
      </c>
      <c r="C11" s="8" t="n">
        <v>5.5</v>
      </c>
      <c r="D11" s="8" t="n">
        <v>6</v>
      </c>
    </row>
    <row r="13" customFormat="false" ht="15" hidden="false" customHeight="true" outlineLevel="0" collapsed="false">
      <c r="A13" s="4" t="s">
        <v>195</v>
      </c>
      <c r="B13" s="5"/>
      <c r="C13" s="5"/>
      <c r="D13" s="5"/>
    </row>
    <row r="14" customFormat="false" ht="15" hidden="false" customHeight="true" outlineLevel="0" collapsed="false">
      <c r="A14" s="6" t="s">
        <v>101</v>
      </c>
      <c r="B14" s="6" t="s">
        <v>187</v>
      </c>
      <c r="C14" s="6" t="s">
        <v>188</v>
      </c>
      <c r="D14" s="6" t="s">
        <v>189</v>
      </c>
    </row>
    <row r="15" customFormat="false" ht="15" hidden="false" customHeight="true" outlineLevel="0" collapsed="false">
      <c r="A15" s="7" t="s">
        <v>196</v>
      </c>
      <c r="B15" s="21" t="n">
        <f aca="false">ROUND(B5*((1+B6)^12-1)/B6*B7*(1-B8)^6,0)</f>
        <v>26</v>
      </c>
      <c r="C15" s="21" t="n">
        <f aca="false">ROUND(C5*((1+C6)^12-1)/C6*C7*(1-C8)^6,0)</f>
        <v>176</v>
      </c>
      <c r="D15" s="21" t="n">
        <f aca="false">ROUND(D5*((1+D6)^12-1)/D6*D7*(1-D8)^6,0)</f>
        <v>1594</v>
      </c>
    </row>
    <row r="16" customFormat="false" ht="15" hidden="false" customHeight="true" outlineLevel="0" collapsed="false">
      <c r="A16" s="7" t="s">
        <v>197</v>
      </c>
      <c r="B16" s="29" t="n">
        <f aca="false">B15*B10</f>
        <v>520</v>
      </c>
      <c r="C16" s="29" t="n">
        <f aca="false">C15*C10</f>
        <v>4400</v>
      </c>
      <c r="D16" s="29" t="n">
        <f aca="false">D15*D10</f>
        <v>51008</v>
      </c>
    </row>
    <row r="17" customFormat="false" ht="15" hidden="false" customHeight="true" outlineLevel="0" collapsed="false">
      <c r="A17" s="11" t="s">
        <v>198</v>
      </c>
      <c r="B17" s="17" t="n">
        <f aca="false">B16*12</f>
        <v>6240</v>
      </c>
      <c r="C17" s="17" t="n">
        <f aca="false">C16*12</f>
        <v>52800</v>
      </c>
      <c r="D17" s="17" t="n">
        <f aca="false">D16*12</f>
        <v>612096</v>
      </c>
    </row>
    <row r="18" customFormat="false" ht="15" hidden="false" customHeight="true" outlineLevel="0" collapsed="false">
      <c r="A18" s="7" t="s">
        <v>199</v>
      </c>
      <c r="B18" s="29" t="n">
        <f aca="false">B16</f>
        <v>520</v>
      </c>
      <c r="C18" s="29" t="n">
        <f aca="false">C16</f>
        <v>4400</v>
      </c>
      <c r="D18" s="29" t="n">
        <f aca="false">D16</f>
        <v>51008</v>
      </c>
    </row>
    <row r="19" customFormat="false" ht="15" hidden="false" customHeight="true" outlineLevel="0" collapsed="false">
      <c r="A19" s="7" t="s">
        <v>200</v>
      </c>
      <c r="B19" s="29" t="n">
        <f aca="false">B15*B11</f>
        <v>104</v>
      </c>
      <c r="C19" s="29" t="n">
        <f aca="false">C15*C11</f>
        <v>968</v>
      </c>
      <c r="D19" s="29" t="n">
        <f aca="false">D15*D11</f>
        <v>9564</v>
      </c>
    </row>
    <row r="20" customFormat="false" ht="15" hidden="false" customHeight="true" outlineLevel="0" collapsed="false">
      <c r="A20" s="7" t="s">
        <v>201</v>
      </c>
      <c r="B20" s="29" t="n">
        <f aca="false">B18-B19</f>
        <v>416</v>
      </c>
      <c r="C20" s="29" t="n">
        <f aca="false">C18-C19</f>
        <v>3432</v>
      </c>
      <c r="D20" s="29" t="n">
        <f aca="false">D18-D19</f>
        <v>41444</v>
      </c>
    </row>
    <row r="21" customFormat="false" ht="15" hidden="false" customHeight="true" outlineLevel="0" collapsed="false">
      <c r="A21" s="7" t="s">
        <v>202</v>
      </c>
      <c r="B21" s="29" t="n">
        <f aca="false">281+B9</f>
        <v>2281</v>
      </c>
      <c r="C21" s="29" t="n">
        <f aca="false">281+C9</f>
        <v>3281</v>
      </c>
      <c r="D21" s="29" t="n">
        <f aca="false">281+D9</f>
        <v>5281</v>
      </c>
    </row>
    <row r="22" customFormat="false" ht="15" hidden="false" customHeight="true" outlineLevel="0" collapsed="false">
      <c r="A22" s="11" t="s">
        <v>203</v>
      </c>
      <c r="B22" s="28" t="n">
        <f aca="false">B20-B21</f>
        <v>-1865</v>
      </c>
      <c r="C22" s="28" t="n">
        <f aca="false">C20-C21</f>
        <v>151</v>
      </c>
      <c r="D22" s="28" t="n">
        <f aca="false">D20-D21</f>
        <v>36163</v>
      </c>
    </row>
    <row r="23" customFormat="false" ht="15" hidden="false" customHeight="true" outlineLevel="0" collapsed="false">
      <c r="A23" s="11" t="s">
        <v>204</v>
      </c>
      <c r="B23" s="28" t="n">
        <f aca="false">B22*12</f>
        <v>-22380</v>
      </c>
      <c r="C23" s="28" t="n">
        <f aca="false">C22*12</f>
        <v>1812</v>
      </c>
      <c r="D23" s="28" t="n">
        <f aca="false">D22*12</f>
        <v>433956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35"/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8"/>
  </cols>
  <sheetData>
    <row r="1" customFormat="false" ht="17.25" hidden="false" customHeight="true" outlineLevel="0" collapsed="false">
      <c r="A1" s="2" t="s">
        <v>205</v>
      </c>
    </row>
    <row r="2" customFormat="false" ht="15" hidden="false" customHeight="true" outlineLevel="0" collapsed="false">
      <c r="A2" s="19" t="s">
        <v>206</v>
      </c>
    </row>
    <row r="4" customFormat="false" ht="15" hidden="false" customHeight="true" outlineLevel="0" collapsed="false">
      <c r="A4" s="4" t="s">
        <v>207</v>
      </c>
      <c r="B4" s="5"/>
      <c r="C4" s="5"/>
      <c r="D4" s="5"/>
      <c r="E4" s="5"/>
      <c r="F4" s="5"/>
    </row>
    <row r="6" customFormat="false" ht="15" hidden="false" customHeight="true" outlineLevel="0" collapsed="false">
      <c r="A6" s="7" t="s">
        <v>208</v>
      </c>
      <c r="B6" s="8" t="n">
        <v>30.24</v>
      </c>
    </row>
    <row r="7" customFormat="false" ht="15" hidden="false" customHeight="true" outlineLevel="0" collapsed="false">
      <c r="A7" s="7" t="s">
        <v>209</v>
      </c>
      <c r="B7" s="8" t="n">
        <v>5.76</v>
      </c>
    </row>
    <row r="8" customFormat="false" ht="15" hidden="false" customHeight="true" outlineLevel="0" collapsed="false">
      <c r="A8" s="7" t="s">
        <v>88</v>
      </c>
      <c r="B8" s="16" t="n">
        <v>281</v>
      </c>
    </row>
    <row r="10" customFormat="false" ht="15" hidden="false" customHeight="true" outlineLevel="0" collapsed="false">
      <c r="A10" s="7" t="s">
        <v>210</v>
      </c>
      <c r="B10" s="9" t="n">
        <v>0.7</v>
      </c>
    </row>
    <row r="11" customFormat="false" ht="15" hidden="false" customHeight="true" outlineLevel="0" collapsed="false">
      <c r="A11" s="7" t="s">
        <v>211</v>
      </c>
      <c r="B11" s="9" t="n">
        <v>0.3</v>
      </c>
    </row>
    <row r="12" customFormat="false" ht="15" hidden="false" customHeight="true" outlineLevel="0" collapsed="false">
      <c r="A12" s="7" t="s">
        <v>212</v>
      </c>
      <c r="B12" s="9" t="n">
        <v>0.15</v>
      </c>
    </row>
    <row r="13" customFormat="false" ht="15" hidden="false" customHeight="true" outlineLevel="0" collapsed="false">
      <c r="A13" s="7" t="s">
        <v>213</v>
      </c>
      <c r="B13" s="9" t="n">
        <v>0.029</v>
      </c>
    </row>
    <row r="15" customFormat="false" ht="15" hidden="false" customHeight="true" outlineLevel="0" collapsed="false">
      <c r="A15" s="7" t="s">
        <v>214</v>
      </c>
      <c r="B15" s="14" t="n">
        <v>500</v>
      </c>
    </row>
    <row r="17" customFormat="false" ht="15" hidden="false" customHeight="true" outlineLevel="0" collapsed="false">
      <c r="A17" s="4" t="s">
        <v>215</v>
      </c>
      <c r="B17" s="5"/>
      <c r="C17" s="5"/>
      <c r="D17" s="5"/>
      <c r="E17" s="5"/>
      <c r="F17" s="5"/>
    </row>
    <row r="19" customFormat="false" ht="15" hidden="false" customHeight="true" outlineLevel="0" collapsed="false">
      <c r="A19" s="7" t="s">
        <v>98</v>
      </c>
      <c r="B19" s="18" t="n">
        <f aca="false">B10*B13+B11*B12</f>
        <v>0.0653</v>
      </c>
    </row>
    <row r="20" customFormat="false" ht="15" hidden="false" customHeight="true" outlineLevel="0" collapsed="false">
      <c r="A20" s="7" t="s">
        <v>216</v>
      </c>
      <c r="B20" s="15" t="n">
        <f aca="false">B6*B19</f>
        <v>1.974672</v>
      </c>
    </row>
    <row r="21" customFormat="false" ht="15" hidden="false" customHeight="true" outlineLevel="0" collapsed="false">
      <c r="A21" s="7" t="s">
        <v>217</v>
      </c>
      <c r="B21" s="15" t="n">
        <f aca="false">B6-B20</f>
        <v>28.265328</v>
      </c>
    </row>
    <row r="22" customFormat="false" ht="15" hidden="false" customHeight="true" outlineLevel="0" collapsed="false">
      <c r="A22" s="7" t="s">
        <v>218</v>
      </c>
      <c r="B22" s="15" t="n">
        <f aca="false">B7</f>
        <v>5.76</v>
      </c>
    </row>
    <row r="23" customFormat="false" ht="15" hidden="false" customHeight="true" outlineLevel="0" collapsed="false">
      <c r="A23" s="11" t="s">
        <v>219</v>
      </c>
      <c r="B23" s="12" t="n">
        <f aca="false">B21-B22</f>
        <v>22.505328</v>
      </c>
    </row>
    <row r="24" customFormat="false" ht="15" hidden="false" customHeight="true" outlineLevel="0" collapsed="false">
      <c r="A24" s="11" t="s">
        <v>220</v>
      </c>
      <c r="B24" s="18" t="n">
        <f aca="false">IF(B6&gt;0,B23/B6,0)</f>
        <v>0.74422380952381</v>
      </c>
    </row>
    <row r="26" customFormat="false" ht="15" hidden="false" customHeight="true" outlineLevel="0" collapsed="false">
      <c r="A26" s="4" t="s">
        <v>221</v>
      </c>
      <c r="B26" s="5"/>
      <c r="C26" s="5"/>
      <c r="D26" s="5"/>
      <c r="E26" s="5"/>
      <c r="F26" s="5"/>
    </row>
    <row r="28" customFormat="false" ht="15" hidden="false" customHeight="true" outlineLevel="0" collapsed="false">
      <c r="A28" s="7" t="s">
        <v>222</v>
      </c>
      <c r="B28" s="29" t="n">
        <f aca="false">B15*B6</f>
        <v>15120</v>
      </c>
    </row>
    <row r="29" customFormat="false" ht="15" hidden="false" customHeight="true" outlineLevel="0" collapsed="false">
      <c r="A29" s="7" t="s">
        <v>223</v>
      </c>
      <c r="B29" s="29" t="n">
        <f aca="false">B15*B20</f>
        <v>987.336</v>
      </c>
    </row>
    <row r="30" customFormat="false" ht="15" hidden="false" customHeight="true" outlineLevel="0" collapsed="false">
      <c r="A30" s="7" t="s">
        <v>224</v>
      </c>
      <c r="B30" s="29" t="n">
        <f aca="false">B28-B29</f>
        <v>14132.664</v>
      </c>
    </row>
    <row r="31" customFormat="false" ht="15" hidden="false" customHeight="true" outlineLevel="0" collapsed="false">
      <c r="A31" s="7" t="s">
        <v>225</v>
      </c>
      <c r="B31" s="29" t="n">
        <f aca="false">B15*B7</f>
        <v>2880</v>
      </c>
    </row>
    <row r="32" customFormat="false" ht="15" hidden="false" customHeight="true" outlineLevel="0" collapsed="false">
      <c r="A32" s="11" t="s">
        <v>182</v>
      </c>
      <c r="B32" s="17" t="n">
        <f aca="false">B30-B31</f>
        <v>11252.664</v>
      </c>
    </row>
    <row r="33" customFormat="false" ht="15" hidden="false" customHeight="true" outlineLevel="0" collapsed="false">
      <c r="A33" s="7" t="s">
        <v>124</v>
      </c>
      <c r="B33" s="29" t="n">
        <f aca="false">B8</f>
        <v>281</v>
      </c>
    </row>
    <row r="34" customFormat="false" ht="15" hidden="false" customHeight="true" outlineLevel="0" collapsed="false">
      <c r="A34" s="11" t="s">
        <v>226</v>
      </c>
      <c r="B34" s="28" t="n">
        <f aca="false">B32-B33</f>
        <v>10971.664</v>
      </c>
    </row>
    <row r="35" customFormat="false" ht="15" hidden="false" customHeight="true" outlineLevel="0" collapsed="false">
      <c r="A35" s="11" t="s">
        <v>227</v>
      </c>
      <c r="B35" s="28" t="n">
        <f aca="false">B34*12</f>
        <v>131659.968</v>
      </c>
    </row>
    <row r="38" customFormat="false" ht="15" hidden="false" customHeight="true" outlineLevel="0" collapsed="false">
      <c r="A38" s="4" t="s">
        <v>228</v>
      </c>
      <c r="B38" s="5"/>
      <c r="C38" s="5"/>
      <c r="D38" s="5"/>
      <c r="E38" s="5"/>
      <c r="F38" s="5"/>
    </row>
    <row r="39" customFormat="false" ht="26.25" hidden="false" customHeight="true" outlineLevel="0" collapsed="false">
      <c r="A39" s="6" t="s">
        <v>101</v>
      </c>
      <c r="B39" s="6" t="s">
        <v>229</v>
      </c>
      <c r="C39" s="6" t="s">
        <v>230</v>
      </c>
      <c r="D39" s="6" t="s">
        <v>231</v>
      </c>
      <c r="E39" s="6" t="s">
        <v>232</v>
      </c>
      <c r="F39" s="6" t="s">
        <v>233</v>
      </c>
    </row>
    <row r="40" customFormat="false" ht="15" hidden="false" customHeight="true" outlineLevel="0" collapsed="false">
      <c r="A40" s="7" t="s">
        <v>234</v>
      </c>
      <c r="B40" s="18" t="n">
        <v>0.029</v>
      </c>
      <c r="C40" s="18" t="n">
        <v>0.0653</v>
      </c>
      <c r="D40" s="18" t="n">
        <v>0.0895</v>
      </c>
      <c r="E40" s="18" t="n">
        <v>0.15</v>
      </c>
      <c r="F40" s="18" t="n">
        <v>0.3</v>
      </c>
    </row>
    <row r="41" customFormat="false" ht="15" hidden="false" customHeight="true" outlineLevel="0" collapsed="false">
      <c r="A41" s="7" t="s">
        <v>235</v>
      </c>
      <c r="B41" s="15" t="n">
        <f aca="false">$B$6*0.029</f>
        <v>0.87696</v>
      </c>
      <c r="C41" s="15" t="n">
        <f aca="false">$B$6*0.0653</f>
        <v>1.974672</v>
      </c>
      <c r="D41" s="15" t="n">
        <f aca="false">$B$6*0.0895</f>
        <v>2.70648</v>
      </c>
      <c r="E41" s="15" t="n">
        <f aca="false">$B$6*0.15</f>
        <v>4.536</v>
      </c>
      <c r="F41" s="15" t="n">
        <f aca="false">$B$6*0.3</f>
        <v>9.072</v>
      </c>
    </row>
    <row r="42" customFormat="false" ht="15" hidden="false" customHeight="true" outlineLevel="0" collapsed="false">
      <c r="A42" s="7" t="s">
        <v>236</v>
      </c>
      <c r="B42" s="15" t="n">
        <f aca="false">$B$6-$B$6*0.029</f>
        <v>29.36304</v>
      </c>
      <c r="C42" s="15" t="n">
        <f aca="false">$B$6-$B$6*0.0653</f>
        <v>28.265328</v>
      </c>
      <c r="D42" s="15" t="n">
        <f aca="false">$B$6-$B$6*0.0895</f>
        <v>27.53352</v>
      </c>
      <c r="E42" s="15" t="n">
        <f aca="false">$B$6-$B$6*0.15</f>
        <v>25.704</v>
      </c>
      <c r="F42" s="15" t="n">
        <f aca="false">$B$6-$B$6*0.3</f>
        <v>21.168</v>
      </c>
    </row>
    <row r="43" customFormat="false" ht="15" hidden="false" customHeight="true" outlineLevel="0" collapsed="false">
      <c r="A43" s="11" t="s">
        <v>219</v>
      </c>
      <c r="B43" s="12" t="n">
        <f aca="false">$B$6-$B$6*0.029-$B$7</f>
        <v>23.60304</v>
      </c>
      <c r="C43" s="12" t="n">
        <f aca="false">$B$6-$B$6*0.0653-$B$7</f>
        <v>22.505328</v>
      </c>
      <c r="D43" s="12" t="n">
        <f aca="false">$B$6-$B$6*0.0895-$B$7</f>
        <v>21.77352</v>
      </c>
      <c r="E43" s="12" t="n">
        <f aca="false">$B$6-$B$6*0.15-$B$7</f>
        <v>19.944</v>
      </c>
      <c r="F43" s="12" t="n">
        <f aca="false">$B$6-$B$6*0.3-$B$7</f>
        <v>15.408</v>
      </c>
    </row>
    <row r="44" customFormat="false" ht="15" hidden="false" customHeight="true" outlineLevel="0" collapsed="false">
      <c r="A44" s="7" t="s">
        <v>220</v>
      </c>
      <c r="B44" s="18" t="n">
        <f aca="false">($B$6-$B$6*0.029-$B$7)/$B$6</f>
        <v>0.78052380952381</v>
      </c>
      <c r="C44" s="18" t="n">
        <f aca="false">($B$6-$B$6*0.0653-$B$7)/$B$6</f>
        <v>0.74422380952381</v>
      </c>
      <c r="D44" s="18" t="n">
        <f aca="false">($B$6-$B$6*0.0895-$B$7)/$B$6</f>
        <v>0.72002380952381</v>
      </c>
      <c r="E44" s="18" t="n">
        <f aca="false">($B$6-$B$6*0.15-$B$7)/$B$6</f>
        <v>0.65952380952381</v>
      </c>
      <c r="F44" s="18" t="n">
        <f aca="false">($B$6-$B$6*0.3-$B$7)/$B$6</f>
        <v>0.50952380952381</v>
      </c>
    </row>
    <row r="45" customFormat="false" ht="15" hidden="false" customHeight="true" outlineLevel="0" collapsed="false">
      <c r="A45" s="7"/>
    </row>
    <row r="46" customFormat="false" ht="15" hidden="false" customHeight="true" outlineLevel="0" collapsed="false">
      <c r="A46" s="11" t="s">
        <v>237</v>
      </c>
      <c r="B46" s="28" t="n">
        <f aca="false">($B$6-$B$6*0.029-$B$7)*500-$B$8</f>
        <v>11520.52</v>
      </c>
      <c r="C46" s="28" t="n">
        <f aca="false">($B$6-$B$6*0.0653-$B$7)*500-$B$8</f>
        <v>10971.664</v>
      </c>
      <c r="D46" s="28" t="n">
        <f aca="false">($B$6-$B$6*0.0895-$B$7)*500-$B$8</f>
        <v>10605.76</v>
      </c>
      <c r="E46" s="28" t="n">
        <f aca="false">($B$6-$B$6*0.15-$B$7)*500-$B$8</f>
        <v>9691</v>
      </c>
      <c r="F46" s="28" t="n">
        <f aca="false">($B$6-$B$6*0.3-$B$7)*500-$B$8</f>
        <v>7423</v>
      </c>
    </row>
    <row r="47" customFormat="false" ht="15" hidden="false" customHeight="true" outlineLevel="0" collapsed="false">
      <c r="A47" s="11" t="s">
        <v>238</v>
      </c>
      <c r="B47" s="28" t="n">
        <f aca="false">B46*12</f>
        <v>138246.24</v>
      </c>
      <c r="C47" s="28" t="n">
        <f aca="false">C46*12</f>
        <v>131659.968</v>
      </c>
      <c r="D47" s="28" t="n">
        <f aca="false">D46*12</f>
        <v>127269.12</v>
      </c>
      <c r="E47" s="28" t="n">
        <f aca="false">E46*12</f>
        <v>116292</v>
      </c>
      <c r="F47" s="28" t="n">
        <f aca="false">F46*12</f>
        <v>89076</v>
      </c>
    </row>
    <row r="48" customFormat="false" ht="15" hidden="false" customHeight="true" outlineLevel="0" collapsed="false">
      <c r="A48" s="7"/>
    </row>
    <row r="49" customFormat="false" ht="15" hidden="false" customHeight="true" outlineLevel="0" collapsed="false">
      <c r="A49" s="11" t="s">
        <v>239</v>
      </c>
      <c r="B49" s="22" t="n">
        <f aca="false">ROUND($B$8/($B$6-$B$6*0.029-$B$7),0)</f>
        <v>12</v>
      </c>
      <c r="C49" s="22" t="n">
        <f aca="false">ROUND($B$8/($B$6-$B$6*0.0653-$B$7),0)</f>
        <v>12</v>
      </c>
      <c r="D49" s="22" t="n">
        <f aca="false">ROUND($B$8/($B$6-$B$6*0.0895-$B$7),0)</f>
        <v>13</v>
      </c>
      <c r="E49" s="22" t="n">
        <f aca="false">ROUND($B$8/($B$6-$B$6*0.15-$B$7),0)</f>
        <v>14</v>
      </c>
      <c r="F49" s="22" t="n">
        <f aca="false">ROUND($B$8/($B$6-$B$6*0.3-$B$7),0)</f>
        <v>18</v>
      </c>
    </row>
    <row r="50" customFormat="false" ht="15" hidden="false" customHeight="true" outlineLevel="0" collapsed="false">
      <c r="A50" s="11" t="s">
        <v>240</v>
      </c>
      <c r="B50" s="28" t="n">
        <f aca="false">($B$6-$B$6*0.029-$B$7)*1000-$B$8</f>
        <v>23322.04</v>
      </c>
      <c r="C50" s="28" t="n">
        <f aca="false">($B$6-$B$6*0.0653-$B$7)*1000-$B$8</f>
        <v>22224.328</v>
      </c>
      <c r="D50" s="28" t="n">
        <f aca="false">($B$6-$B$6*0.0895-$B$7)*1000-$B$8</f>
        <v>21492.52</v>
      </c>
      <c r="E50" s="28" t="n">
        <f aca="false">($B$6-$B$6*0.15-$B$7)*1000-$B$8</f>
        <v>19663</v>
      </c>
      <c r="F50" s="28" t="n">
        <f aca="false">($B$6-$B$6*0.3-$B$7)*1000-$B$8</f>
        <v>15127</v>
      </c>
    </row>
    <row r="51" customFormat="false" ht="15" hidden="false" customHeight="true" outlineLevel="0" collapsed="false">
      <c r="A51" s="11" t="s">
        <v>241</v>
      </c>
      <c r="B51" s="28" t="n">
        <f aca="false">B50*12</f>
        <v>279864.48</v>
      </c>
      <c r="C51" s="28" t="n">
        <f aca="false">C50*12</f>
        <v>266691.936</v>
      </c>
      <c r="D51" s="28" t="n">
        <f aca="false">D50*12</f>
        <v>257910.24</v>
      </c>
      <c r="E51" s="28" t="n">
        <f aca="false">E50*12</f>
        <v>235956</v>
      </c>
      <c r="F51" s="28" t="n">
        <f aca="false">F50*12</f>
        <v>181524</v>
      </c>
    </row>
    <row r="52" customFormat="false" ht="15" hidden="false" customHeight="true" outlineLevel="0" collapsed="false">
      <c r="A52" s="11" t="s">
        <v>242</v>
      </c>
      <c r="B52" s="28" t="n">
        <f aca="false">($B$6-$B$6*0.029-$B$7)*2000-$B$8</f>
        <v>46925.08</v>
      </c>
      <c r="C52" s="28" t="n">
        <f aca="false">($B$6-$B$6*0.0653-$B$7)*2000-$B$8</f>
        <v>44729.656</v>
      </c>
      <c r="D52" s="28" t="n">
        <f aca="false">($B$6-$B$6*0.0895-$B$7)*2000-$B$8</f>
        <v>43266.04</v>
      </c>
      <c r="E52" s="28" t="n">
        <f aca="false">($B$6-$B$6*0.15-$B$7)*2000-$B$8</f>
        <v>39607</v>
      </c>
      <c r="F52" s="28" t="n">
        <f aca="false">($B$6-$B$6*0.3-$B$7)*2000-$B$8</f>
        <v>30535</v>
      </c>
    </row>
    <row r="53" customFormat="false" ht="15" hidden="false" customHeight="true" outlineLevel="0" collapsed="false">
      <c r="A53" s="11" t="s">
        <v>243</v>
      </c>
      <c r="B53" s="28" t="n">
        <f aca="false">B52*12</f>
        <v>563100.96</v>
      </c>
      <c r="C53" s="28" t="n">
        <f aca="false">C52*12</f>
        <v>536755.872</v>
      </c>
      <c r="D53" s="28" t="n">
        <f aca="false">D52*12</f>
        <v>519192.48</v>
      </c>
      <c r="E53" s="28" t="n">
        <f aca="false">E52*12</f>
        <v>475284</v>
      </c>
      <c r="F53" s="28" t="n">
        <f aca="false">F52*12</f>
        <v>366420</v>
      </c>
    </row>
    <row r="55" customFormat="false" ht="15" hidden="false" customHeight="true" outlineLevel="0" collapsed="false">
      <c r="A55" s="30" t="s">
        <v>244</v>
      </c>
    </row>
    <row r="56" customFormat="false" ht="15" hidden="false" customHeight="true" outlineLevel="0" collapsed="false">
      <c r="A56" s="31" t="s">
        <v>245</v>
      </c>
    </row>
    <row r="57" customFormat="false" ht="15" hidden="false" customHeight="true" outlineLevel="0" collapsed="false">
      <c r="A57" s="31" t="s">
        <v>246</v>
      </c>
    </row>
    <row r="58" customFormat="false" ht="15" hidden="false" customHeight="true" outlineLevel="0" collapsed="false">
      <c r="A58" s="32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2026-05-26T06:44:09Z</dcterms:created>
  <dc:creator>openpyxl</dc:creator>
  <dc:description/>
  <dc:language>en-US</dc:language>
  <cp:lastModifiedBy/>
  <dcterms:modified xsi:type="dcterms:W3CDTF">2026-05-26T07:05:21Z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